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סיכום_האירוע" state="visible" r:id="rId4"/>
    <sheet sheetId="2" name="02_Guest_Database" state="visible" r:id="rId5"/>
    <sheet sheetId="3" name="03_RSVP_Status" state="visible" r:id="rId6"/>
    <sheet sheetId="4" name="04_Categories" state="visible" r:id="rId7"/>
    <sheet sheetId="5" name="05_Seating" state="visible" r:id="rId8"/>
    <sheet sheetId="6" name="06_Venue" state="visible" r:id="rId9"/>
    <sheet sheetId="7" name="07_Suppliers" state="visible" r:id="rId10"/>
    <sheet sheetId="8" name="08_Budget" state="visible" r:id="rId11"/>
    <sheet sheetId="9" name="09_Change_Impact" state="visible" r:id="rId12"/>
    <sheet sheetId="10" name="10_Risks" state="visible" r:id="rId13"/>
    <sheet sheetId="11" name="11_Final_Brief" state="visible" r:id="rId14"/>
    <sheet sheetId="12" name="_EventSheet_Metadata" state="veryHidden" r:id="rId15"/>
  </sheets>
  <definedNames>
    <definedName name="_xlnm.Print_Area" localSheetId="0">'01_סיכום_האירוע'!$A1:$C31</definedName>
    <definedName name="_xlnm.Print_Area" localSheetId="10">'11_Final_Brief'!$A1:$B8</definedName>
  </definedNames>
  <calcPr calcId="171027" fullCalcOnLoad="1"/>
</workbook>
</file>

<file path=xl/sharedStrings.xml><?xml version="1.0" encoding="utf-8"?>
<sst xmlns="http://schemas.openxmlformats.org/spreadsheetml/2006/main" count="440" uniqueCount="261">
  <si>
    <t>סיכום האירוע</t>
  </si>
  <si>
    <t>ערך</t>
  </si>
  <si>
    <t>הערה</t>
  </si>
  <si>
    <t>שם האירוע</t>
  </si>
  <si>
    <t>חתונת QA</t>
  </si>
  <si>
    <t>פרטי האירוע</t>
  </si>
  <si>
    <t>לקוח / משפחה</t>
  </si>
  <si>
    <t>משפחת כהן-לוי</t>
  </si>
  <si>
    <t>פרטי לקוח</t>
  </si>
  <si>
    <t>תאריך</t>
  </si>
  <si>
    <t>2026-07-18</t>
  </si>
  <si>
    <t>מקום</t>
  </si>
  <si>
    <t>גן עדן אירועים</t>
  </si>
  <si>
    <t>סה״כ מוזמנים</t>
  </si>
  <si>
    <t>מתעדכן מרשימת האורחים</t>
  </si>
  <si>
    <t>מאשרים הגעה</t>
  </si>
  <si>
    <t>סטטוס אורחים</t>
  </si>
  <si>
    <t>ממתינים לאישור</t>
  </si>
  <si>
    <t>דורש מעקב</t>
  </si>
  <si>
    <t>לא מגיעים</t>
  </si>
  <si>
    <t>מספר שולחנות</t>
  </si>
  <si>
    <t>לפי טבלת ההושבה</t>
  </si>
  <si>
    <t>קיבולת כוללת</t>
  </si>
  <si>
    <t>סך מושבים שהוגדרו</t>
  </si>
  <si>
    <t>אורחים מאשרים ללא שולחן</t>
  </si>
  <si>
    <t>דורש החלטת הושבה</t>
  </si>
  <si>
    <t>אורחים משובצים</t>
  </si>
  <si>
    <t>לפי שיוך אורחים</t>
  </si>
  <si>
    <t>פער קיבולת</t>
  </si>
  <si>
    <t>חיובי = עודף מושבים; שלילי = חסר</t>
  </si>
  <si>
    <t>תפוסת הושבה</t>
  </si>
  <si>
    <t>לפי שולחנות שהוגדרו</t>
  </si>
  <si>
    <t>שולחנות בחריגה</t>
  </si>
  <si>
    <t>דורש בדיקה</t>
  </si>
  <si>
    <t>קבוצות שפוצלו</t>
  </si>
  <si>
    <t>לפי המלצות הושבה אחרונות</t>
  </si>
  <si>
    <t>סה״כ ספקים</t>
  </si>
  <si>
    <t>מתעדכן מרשימת הספקים</t>
  </si>
  <si>
    <t>תקציב מתוכנן</t>
  </si>
  <si>
    <t>ספקים וסעיפי תקציב</t>
  </si>
  <si>
    <t>שולם</t>
  </si>
  <si>
    <t>ספקים</t>
  </si>
  <si>
    <t>יתרה לתשלום</t>
  </si>
  <si>
    <t>עלות לאורח</t>
  </si>
  <si>
    <t>מדד תכנון</t>
  </si>
  <si>
    <t>נושאים לטיפול</t>
  </si>
  <si>
    <t>דורש תשומת לב</t>
  </si>
  <si>
    <t>מקור אמת</t>
  </si>
  <si>
    <t>רשומת האירוע והחוברת הם בסיס העבודה התפעולי. האפליקציה היא סביבת עבודה ויזואלית.</t>
  </si>
  <si>
    <t>החלטות ידניות של מנהל האירוע</t>
  </si>
  <si>
    <t/>
  </si>
  <si>
    <t>קישורים משניים לאפליקציה</t>
  </si>
  <si>
    <t>פתיחה באותו מכשיר/דפדפן שבו האירוע נשמר</t>
  </si>
  <si>
    <t>ניווט בלבד</t>
  </si>
  <si>
    <t>סקירה</t>
  </si>
  <si>
    <t>פתח סקירה</t>
  </si>
  <si>
    <t>אפליקציה</t>
  </si>
  <si>
    <t>אורחים</t>
  </si>
  <si>
    <t>פתח אורחים</t>
  </si>
  <si>
    <t>הושבה</t>
  </si>
  <si>
    <t>פתח הושבה</t>
  </si>
  <si>
    <t>פתח ספקים</t>
  </si>
  <si>
    <t>סיכונים</t>
  </si>
  <si>
    <t>פתח סיכונים</t>
  </si>
  <si>
    <t>מזהה</t>
  </si>
  <si>
    <t>שם אורח</t>
  </si>
  <si>
    <t>סטטוס הגעה</t>
  </si>
  <si>
    <t>קטגוריה</t>
  </si>
  <si>
    <t>תזונה</t>
  </si>
  <si>
    <t>שולחן</t>
  </si>
  <si>
    <t>הערות</t>
  </si>
  <si>
    <t>יש שולחן</t>
  </si>
  <si>
    <t>רב-קטגוריה</t>
  </si>
  <si>
    <t>מחבר חברתי</t>
  </si>
  <si>
    <t>ניווט לאפליקציה</t>
  </si>
  <si>
    <t>האקסל הוא ספר התכנון. הקישור פותח את תצוגת האורחים באפליקציה.</t>
  </si>
  <si>
    <t>G-0001</t>
  </si>
  <si>
    <t>לקוח: משפחת כהן-לוי</t>
  </si>
  <si>
    <t>טרם השיב</t>
  </si>
  <si>
    <t>משפחה</t>
  </si>
  <si>
    <t>ללא</t>
  </si>
  <si>
    <t>פתח את תצוגת האורחים</t>
  </si>
  <si>
    <t>G-0002</t>
  </si>
  <si>
    <t>מולר</t>
  </si>
  <si>
    <t>מאשר הגעה</t>
  </si>
  <si>
    <t>חבר גרעין</t>
  </si>
  <si>
    <t>G-0003</t>
  </si>
  <si>
    <t>מידן</t>
  </si>
  <si>
    <t>G-0004</t>
  </si>
  <si>
    <t>תואם</t>
  </si>
  <si>
    <t>חבר גרעין, לימודים</t>
  </si>
  <si>
    <t>קבוצות: חבר גרעין, לימודים</t>
  </si>
  <si>
    <t>G-0005</t>
  </si>
  <si>
    <t>זוהר</t>
  </si>
  <si>
    <t>לימודים</t>
  </si>
  <si>
    <t>G-0006</t>
  </si>
  <si>
    <t>פלג</t>
  </si>
  <si>
    <t>G-0007</t>
  </si>
  <si>
    <t>נועה כהן</t>
  </si>
  <si>
    <t>טבעוני</t>
  </si>
  <si>
    <t>צד: צד הכלה</t>
  </si>
  <si>
    <t>G-0008</t>
  </si>
  <si>
    <t>דניאל לוי</t>
  </si>
  <si>
    <t>משפחה, VIP</t>
  </si>
  <si>
    <t>צד: צד החתן</t>
  </si>
  <si>
    <t>סטטוס</t>
  </si>
  <si>
    <t>כמות</t>
  </si>
  <si>
    <t>אחוז</t>
  </si>
  <si>
    <t>לא מגיע</t>
  </si>
  <si>
    <t>אין כאן מערכת RSVP. זהו סיכום תפעולי לעבודה ידנית.</t>
  </si>
  <si>
    <t>מדד</t>
  </si>
  <si>
    <t>סה״כ קטגוריות</t>
  </si>
  <si>
    <t>קטגוריה גדולה ביותר</t>
  </si>
  <si>
    <t>גודל קטגוריה מובילה</t>
  </si>
  <si>
    <t>אורחי VIP</t>
  </si>
  <si>
    <t>אורחים עם מגבלת תזונה</t>
  </si>
  <si>
    <t>אורחים רב-קטגוריה</t>
  </si>
  <si>
    <t>מחברים חברתיים</t>
  </si>
  <si>
    <t>סיכום תזונה</t>
  </si>
  <si>
    <t>ללא גלוטן</t>
  </si>
  <si>
    <t>אלרגיה</t>
  </si>
  <si>
    <t>כמות אורחים</t>
  </si>
  <si>
    <t>מתעדכן אוטומטית</t>
  </si>
  <si>
    <t>VIP</t>
  </si>
  <si>
    <t>סקיצת הושבה ויזואלית</t>
  </si>
  <si>
    <t>האקסל הוא מקור האמת התפעולי. הקישור פותח את תצוגת ההושבה הוויזואלית באפליקציה.</t>
  </si>
  <si>
    <t>פתח את מסך ההושבה</t>
  </si>
  <si>
    <t>סה״כ מושבים</t>
  </si>
  <si>
    <t>מושבים תפוסים</t>
  </si>
  <si>
    <t>אחוז תפוסה</t>
  </si>
  <si>
    <t>מצב הושבה</t>
  </si>
  <si>
    <t>מושבים פנויים</t>
  </si>
  <si>
    <t>אזהרות קיבולת</t>
  </si>
  <si>
    <t>כינוי</t>
  </si>
  <si>
    <t>קיבולת</t>
  </si>
  <si>
    <t>מקומות פנויים</t>
  </si>
  <si>
    <t>תפוסה</t>
  </si>
  <si>
    <t>אזהרת קיבולת</t>
  </si>
  <si>
    <t>תמהיל קטגוריות</t>
  </si>
  <si>
    <t>סוג</t>
  </si>
  <si>
    <t>אזור</t>
  </si>
  <si>
    <t>הערות והמלצות</t>
  </si>
  <si>
    <t>שולחן 1</t>
  </si>
  <si>
    <t>חבר גרעין: 2 | משפחה: 1</t>
  </si>
  <si>
    <t xml:space="preserve">נוצר לפי שיוך אורחים שהוזן
מומלץ להושיב את קבוצת 'חבר גרעין' בשולחן 1 — הקבוצה נכנסת במלואה.
מומלץ להושיב את קבוצת 'משפחה' בשולחן 1 — הקבוצה נכנסת במלואה.</t>
  </si>
  <si>
    <t>שולחן 2</t>
  </si>
  <si>
    <t>לימודים: 2</t>
  </si>
  <si>
    <t xml:space="preserve">נוצר לפי שיוך אורחים שהוזן
מומלץ להושיב את קבוצת 'לימודים' בשולחן 2 — הקבוצה נכנסת במלואה.</t>
  </si>
  <si>
    <t>שולחן 3</t>
  </si>
  <si>
    <t>חברים</t>
  </si>
  <si>
    <t>חבר גרעין, לימודים: 1 | משפחה, VIP: 1</t>
  </si>
  <si>
    <t xml:space="preserve">נוסף בבדיקת QA
מומלץ להושיב את קבוצת 'חבר גרעין, לימודים' בשולחן 3 — הקבוצה נכנסת במלואה.
קבוצת 'משפחה, VIP' כוללת 1 אורחים ולכן מומלץ לפצל בין שולחן 3.</t>
  </si>
  <si>
    <t>המלצות הושבה</t>
  </si>
  <si>
    <t xml:space="preserve">מומלץ להושיב את קבוצת 'חבר גרעין' בשולחן 1 — הקבוצה נכנסת במלואה.
מומלץ להושיב את קבוצת 'לימודים' בשולחן 2 — הקבוצה נכנסת במלואה.
מומלץ להושיב את קבוצת 'חבר גרעין, לימודים' בשולחן 3 — הקבוצה נכנסת במלואה.
מומלץ להושיב את קבוצת 'משפחה' בשולחן 1 — הקבוצה נכנסת במלואה.
קבוצת 'משפחה, VIP' כוללת 1 אורחים ולכן מומלץ לפצל בין שולחן 3.
טרם השיבו — לא שובצו: לקוח: משפחת כהן-לוי
המלצה בלבד — מנהל האירוע מחליט.</t>
  </si>
  <si>
    <t>נתון אולם</t>
  </si>
  <si>
    <t>מקום האירוע</t>
  </si>
  <si>
    <t>כמות אורחים משוערת</t>
  </si>
  <si>
    <t>מספר שולחנות שהוגדרו</t>
  </si>
  <si>
    <t>אין נתוני אולם שהומצאו אוטומטית. יש לעדכן ידנית לפי המקום.</t>
  </si>
  <si>
    <t>האקסל הוא ספר התכנון. הקישור פותח את תצוגת הספקים באפליקציה.</t>
  </si>
  <si>
    <t>פתח את תצוגת הספקים</t>
  </si>
  <si>
    <t>חסר טלפון</t>
  </si>
  <si>
    <t>דורש השלמה</t>
  </si>
  <si>
    <t>חסר עלות</t>
  </si>
  <si>
    <t>ספקים לא משולמים</t>
  </si>
  <si>
    <t>דורש מעקב תשלום</t>
  </si>
  <si>
    <t>עלות ספקים כוללת</t>
  </si>
  <si>
    <t>שולם לספקים</t>
  </si>
  <si>
    <t>מצב תשלום</t>
  </si>
  <si>
    <t>יתרה לספקים</t>
  </si>
  <si>
    <t>תחום</t>
  </si>
  <si>
    <t>שם ספק</t>
  </si>
  <si>
    <t>טלפון</t>
  </si>
  <si>
    <t>עלות חוזה</t>
  </si>
  <si>
    <t>יתרה</t>
  </si>
  <si>
    <t>לא שולם</t>
  </si>
  <si>
    <t>קייטרינג ובר</t>
  </si>
  <si>
    <t>קייטרינג טעם טוב - - מקדמה - -</t>
  </si>
  <si>
    <t>050-8887766</t>
  </si>
  <si>
    <t>שולם חלקית</t>
  </si>
  <si>
    <t>צילום</t>
  </si>
  <si>
    <t>צילום רגעים - - שולם</t>
  </si>
  <si>
    <t>בר</t>
  </si>
  <si>
    <t>בר הבית</t>
  </si>
  <si>
    <t>050-1112233</t>
  </si>
  <si>
    <t>פתוח לתשלום</t>
  </si>
  <si>
    <t>עלות מתוכננת</t>
  </si>
  <si>
    <t>כולל ספקים וסעיפי תקציב</t>
  </si>
  <si>
    <t>עלות בפועל</t>
  </si>
  <si>
    <t>מתעדכן לפי מוזמנים</t>
  </si>
  <si>
    <t>עלות לשולחן</t>
  </si>
  <si>
    <t>מתעדכן לפי שולחנות</t>
  </si>
  <si>
    <t>סעיף התקציב הגדול ביותר</t>
  </si>
  <si>
    <t>מדד תקציבי</t>
  </si>
  <si>
    <t>ניצול תקציב</t>
  </si>
  <si>
    <t>שולם מתוך המתוכנן</t>
  </si>
  <si>
    <t>סעיף תקציב</t>
  </si>
  <si>
    <t>סכום</t>
  </si>
  <si>
    <t>נמשך אוטומטית מגיליון ספקים</t>
  </si>
  <si>
    <t>אולם</t>
  </si>
  <si>
    <t>זוהה מטקסט חופשי</t>
  </si>
  <si>
    <t>סה״כ</t>
  </si>
  <si>
    <t>שינוי</t>
  </si>
  <si>
    <t>השפעה</t>
  </si>
  <si>
    <t>החלטת מנהל</t>
  </si>
  <si>
    <t>שינוי כמות אורחים</t>
  </si>
  <si>
    <t>משפיע על קייטרינג, הושבה ותקציב</t>
  </si>
  <si>
    <t>לעדכון ידני</t>
  </si>
  <si>
    <t>שינוי ספק</t>
  </si>
  <si>
    <t>משפיע על תקציב ולוחות זמנים</t>
  </si>
  <si>
    <t>אישור מנהל אירוע</t>
  </si>
  <si>
    <t>סיכון חדש</t>
  </si>
  <si>
    <t>משפיע על בריף וניהול שטח</t>
  </si>
  <si>
    <t>תיעוד בגיליון סיכונים</t>
  </si>
  <si>
    <t>סיכון</t>
  </si>
  <si>
    <t>כמות/מצב</t>
  </si>
  <si>
    <t>חומרה</t>
  </si>
  <si>
    <t>פעולה</t>
  </si>
  <si>
    <t>האקסל הוא ספר התכנון. הקישור פותח את תצוגת הסיכונים באפליקציה.</t>
  </si>
  <si>
    <t>אורחים ללא שולחן</t>
  </si>
  <si>
    <t>גבוהה</t>
  </si>
  <si>
    <t>לעדכן שולחן בגיליון אורחים/הושבה</t>
  </si>
  <si>
    <t>פתח את תצוגת הסיכונים</t>
  </si>
  <si>
    <t>שולחן מעל קיבולת</t>
  </si>
  <si>
    <t>להקטין שיבוץ או להגדיל קיבולת</t>
  </si>
  <si>
    <t>חסר טלפון ספק</t>
  </si>
  <si>
    <t>בינונית</t>
  </si>
  <si>
    <t>להשלים טלפון ספק</t>
  </si>
  <si>
    <t>חסר עלות ספק</t>
  </si>
  <si>
    <t>להשלים עלות חוזה</t>
  </si>
  <si>
    <t>לוודא סטטוס תשלום</t>
  </si>
  <si>
    <t>חסר RSVP</t>
  </si>
  <si>
    <t>לסגור אישורי הגעה ידנית</t>
  </si>
  <si>
    <t>חריגת תקציב</t>
  </si>
  <si>
    <t>לבדוק ניצול תקציב</t>
  </si>
  <si>
    <t>אלרגיה חמורה לאגוזים אצל אורח VIP</t>
  </si>
  <si>
    <t>בדיקה ואישור ידני לפני האירוע</t>
  </si>
  <si>
    <t>פעיל</t>
  </si>
  <si>
    <t>המלצת הושבה לבדיקה</t>
  </si>
  <si>
    <t>נמוכה</t>
  </si>
  <si>
    <t>מומלץ להושיב את קבוצת 'חבר גרעין' בשולחן 1 — הקבוצה נכנסת במלואה.</t>
  </si>
  <si>
    <t>מומלץ להושיב את קבוצת 'לימודים' בשולחן 2 — הקבוצה נכנסת במלואה.</t>
  </si>
  <si>
    <t>מומלץ להושיב את קבוצת 'חבר גרעין, לימודים' בשולחן 3 — הקבוצה נכנסת במלואה.</t>
  </si>
  <si>
    <t>מומלץ להושיב את קבוצת 'משפחה' בשולחן 1 — הקבוצה נכנסת במלואה.</t>
  </si>
  <si>
    <t>קבוצת 'משפחה, VIP' כוללת 1 אורחים ולכן מומלץ לפצל בין שולחן 3.</t>
  </si>
  <si>
    <t>טרם השיבו — לא שובצו: לקוח: משפחת כהן-לוי</t>
  </si>
  <si>
    <t>המלצה בלבד — מנהל האירוע מחליט.</t>
  </si>
  <si>
    <t>בריף סופי</t>
  </si>
  <si>
    <t>תקציב</t>
  </si>
  <si>
    <t>הערת מקור אמת</t>
  </si>
  <si>
    <t>החוברת היא ספר התכנון התפעולי. האפליקציה משמשת לסקירה ויזואלית וניווט.</t>
  </si>
  <si>
    <t>שדה</t>
  </si>
  <si>
    <t>eventId</t>
  </si>
  <si>
    <t>d2c1efcf-d570-4bfd-96af-56edded3d552</t>
  </si>
  <si>
    <t>eventName</t>
  </si>
  <si>
    <t>generatedAt</t>
  </si>
  <si>
    <t>2026-06-09T15:39:53.973Z</t>
  </si>
  <si>
    <t>appOrigin</t>
  </si>
  <si>
    <t>http://127.0.0.1:5173</t>
  </si>
  <si>
    <t>workbookVersion</t>
  </si>
  <si>
    <t>2.0-local-event-record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</si>
</sst>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44054"/>
    </font>
    <font>
      <b/>
      <color rgb="FF475467"/>
      <sz val="11"/>
    </font>
    <font>
      <b/>
      <u/>
      <color rgb="FF2451B2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23C43"/>
      </patternFill>
    </fill>
    <fill>
      <patternFill patternType="solid">
        <fgColor rgb="FFE9F8EF"/>
      </patternFill>
    </fill>
    <fill>
      <patternFill patternType="solid">
        <fgColor rgb="FFE5E7EB"/>
      </patternFill>
    </fill>
    <fill>
      <patternFill patternType="solid">
        <fgColor rgb="FFF2F4F7"/>
      </patternFill>
    </fill>
    <fill>
      <patternFill patternType="solid">
        <fgColor rgb="FFEAF1FF"/>
      </patternFill>
    </fill>
    <fill>
      <patternFill patternType="solid">
        <fgColor rgb="FF1F6F68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2"/>
    </xf>
    <xf numFmtId="0" fontId="0" fillId="3" borderId="1" xfId="0" applyFill="1" applyBorder="1" applyAlignment="1" applyProtection="1">
      <alignment horizontal="right" vertical="top" wrapText="1" readingOrder="2"/>
      <protection locked="0"/>
    </xf>
    <xf numFmtId="0" fontId="2" fillId="4" borderId="1" xfId="0" applyFont="1" applyFill="1" applyBorder="1" applyAlignment="1" applyProtection="1">
      <alignment horizontal="right" vertical="top" wrapText="1" readingOrder="2"/>
    </xf>
    <xf numFmtId="164" fontId="0" fillId="3" borderId="1" xfId="0" applyNumberFormat="1" applyFill="1" applyBorder="1" applyAlignment="1" applyProtection="1">
      <alignment horizontal="right" vertical="top" wrapText="1" readingOrder="2"/>
      <protection locked="0"/>
    </xf>
    <xf numFmtId="164" fontId="2" fillId="4" borderId="1" xfId="0" applyNumberFormat="1" applyFont="1" applyFill="1" applyBorder="1" applyAlignment="1" applyProtection="1">
      <alignment horizontal="right" vertical="top" wrapText="1" readingOrder="2"/>
    </xf>
    <xf numFmtId="0" fontId="0" fillId="0" borderId="1" xfId="0" applyBorder="1" applyAlignment="1" applyProtection="1">
      <alignment horizontal="right" vertical="top" wrapText="1" readingOrder="2"/>
      <protection locked="0"/>
    </xf>
    <xf numFmtId="0" fontId="3" fillId="5" borderId="1" xfId="0" applyFont="1" applyFill="1" applyBorder="1" applyAlignment="1" applyProtection="1">
      <alignment horizontal="right" vertical="top" wrapText="1" readingOrder="2"/>
      <protection locked="0"/>
    </xf>
    <xf numFmtId="0" fontId="4" fillId="6" borderId="1" xfId="0" applyFont="1" applyFill="1" applyBorder="1" applyAlignment="1" applyProtection="1">
      <alignment horizontal="right" vertical="top" wrapText="1" readingOrder="2"/>
    </xf>
    <xf numFmtId="0" fontId="5" fillId="7" borderId="1" xfId="0" applyFont="1" applyFill="1" applyBorder="1" applyAlignment="1" applyProtection="1">
      <alignment horizontal="right" vertical="top" wrapText="1" readingOrder="2"/>
    </xf>
    <xf numFmtId="0" fontId="0" fillId="8" borderId="1" xfId="0" applyFill="1" applyBorder="1" applyAlignment="1" applyProtection="1">
      <alignment horizontal="right" vertical="top" wrapText="1" readingOrder="2"/>
    </xf>
    <xf numFmtId="0" fontId="0" fillId="3" borderId="0" xfId="0" applyFill="1" applyAlignment="1" applyProtection="1">
      <alignment horizontal="right" vertical="top" wrapText="1" readingOrder="2"/>
      <protection locked="0"/>
    </xf>
    <xf numFmtId="9" fontId="5" fillId="7" borderId="1" xfId="0" applyNumberFormat="1" applyFont="1" applyFill="1" applyBorder="1" applyAlignment="1" applyProtection="1">
      <alignment horizontal="right" vertical="top" wrapText="1" readingOrder="2"/>
    </xf>
    <xf numFmtId="9" fontId="2" fillId="4" borderId="1" xfId="0" applyNumberFormat="1" applyFont="1" applyFill="1" applyBorder="1" applyAlignment="1" applyProtection="1">
      <alignment horizontal="right" vertical="top" wrapText="1" readingOrder="2"/>
    </xf>
    <xf numFmtId="9" fontId="0" fillId="0" borderId="1" xfId="0" applyNumberFormat="1" applyBorder="1" applyAlignment="1" applyProtection="1">
      <alignment horizontal="right" vertical="top" wrapText="1" readingOrder="2"/>
      <protection locked="0"/>
    </xf>
    <xf numFmtId="9" fontId="0" fillId="3" borderId="1" xfId="0" applyNumberFormat="1" applyFill="1" applyBorder="1" applyAlignment="1" applyProtection="1">
      <alignment horizontal="right" vertical="top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d2c1efcf-d570-4bfd-96af-56edded3d552#overview" TargetMode="External"/><Relationship Id="rId2" Type="http://schemas.openxmlformats.org/officeDocument/2006/relationships/hyperlink" Target="http://127.0.0.1:5173/?eventId=d2c1efcf-d570-4bfd-96af-56edded3d552#guests" TargetMode="External"/><Relationship Id="rId3" Type="http://schemas.openxmlformats.org/officeDocument/2006/relationships/hyperlink" Target="http://127.0.0.1:5173/?eventId=d2c1efcf-d570-4bfd-96af-56edded3d552#seating" TargetMode="External"/><Relationship Id="rId4" Type="http://schemas.openxmlformats.org/officeDocument/2006/relationships/hyperlink" Target="http://127.0.0.1:5173/?eventId=d2c1efcf-d570-4bfd-96af-56edded3d552#suppliers" TargetMode="External"/><Relationship Id="rId5" Type="http://schemas.openxmlformats.org/officeDocument/2006/relationships/hyperlink" Target="http://127.0.0.1:5173/?eventId=d2c1efcf-d570-4bfd-96af-56edded3d552#risk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d2c1efcf-d570-4bfd-96af-56edded3d552#guest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d2c1efcf-d570-4bfd-96af-56edded3d552#seating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d2c1efcf-d570-4bfd-96af-56edded3d552#suppliers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173/?eventId=d2c1efcf-d570-4bfd-96af-56edded3d552#ri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38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5</v>
      </c>
    </row>
    <row r="5" spans="1:3" x14ac:dyDescent="0.25">
      <c r="A5" s="2" t="s">
        <v>11</v>
      </c>
      <c r="B5" s="2" t="s">
        <v>12</v>
      </c>
      <c r="C5" s="2" t="s">
        <v>5</v>
      </c>
    </row>
    <row r="6" spans="1:3" x14ac:dyDescent="0.25">
      <c r="A6" s="2" t="s">
        <v>13</v>
      </c>
      <c r="B6" s="3">
        <f>COUNTIF('02_Guest_Database'!B2:B999,"&lt;&gt;")</f>
      </c>
      <c r="C6" s="2" t="s">
        <v>14</v>
      </c>
    </row>
    <row r="7" spans="1:3" x14ac:dyDescent="0.25">
      <c r="A7" s="2" t="s">
        <v>15</v>
      </c>
      <c r="B7" s="3">
        <f>COUNTIF('02_Guest_Database'!C2:C999,"מאשר הגעה")</f>
      </c>
      <c r="C7" s="2" t="s">
        <v>16</v>
      </c>
    </row>
    <row r="8" spans="1:3" x14ac:dyDescent="0.25">
      <c r="A8" s="2" t="s">
        <v>17</v>
      </c>
      <c r="B8" s="3">
        <f>COUNTIF('02_Guest_Database'!C2:C999,"טרם השיב")</f>
      </c>
      <c r="C8" s="2" t="s">
        <v>18</v>
      </c>
    </row>
    <row r="9" spans="1:3" x14ac:dyDescent="0.25">
      <c r="A9" s="2" t="s">
        <v>19</v>
      </c>
      <c r="B9" s="3">
        <f>COUNTIF('02_Guest_Database'!C2:C999,"לא מגיע")</f>
      </c>
      <c r="C9" s="2" t="s">
        <v>16</v>
      </c>
    </row>
    <row r="10" spans="1:3" x14ac:dyDescent="0.25">
      <c r="A10" s="2" t="s">
        <v>20</v>
      </c>
      <c r="B10" s="3">
        <f>COUNTIF('05_Seating'!A14:A999,"&gt;0")</f>
      </c>
      <c r="C10" s="2" t="s">
        <v>21</v>
      </c>
    </row>
    <row r="11" spans="1:3" x14ac:dyDescent="0.25">
      <c r="A11" s="2" t="s">
        <v>22</v>
      </c>
      <c r="B11" s="3">
        <f>'05_Seating'!B4</f>
      </c>
      <c r="C11" s="2" t="s">
        <v>23</v>
      </c>
    </row>
    <row r="12" spans="1:3" x14ac:dyDescent="0.25">
      <c r="A12" s="2" t="s">
        <v>24</v>
      </c>
      <c r="B12" s="3">
        <f>'05_Seating'!B3</f>
      </c>
      <c r="C12" s="2" t="s">
        <v>25</v>
      </c>
    </row>
    <row r="13" spans="1:3" x14ac:dyDescent="0.25">
      <c r="A13" s="2" t="s">
        <v>26</v>
      </c>
      <c r="B13" s="3">
        <f>'05_Seating'!B2</f>
      </c>
      <c r="C13" s="2" t="s">
        <v>27</v>
      </c>
    </row>
    <row r="14" spans="1:3" x14ac:dyDescent="0.25">
      <c r="A14" s="2" t="s">
        <v>28</v>
      </c>
      <c r="B14" s="3">
        <f>B11-B7</f>
      </c>
      <c r="C14" s="2" t="s">
        <v>29</v>
      </c>
    </row>
    <row r="15" spans="1:3" x14ac:dyDescent="0.25">
      <c r="A15" s="2" t="s">
        <v>30</v>
      </c>
      <c r="B15" s="3">
        <f>'05_Seating'!B6</f>
      </c>
      <c r="C15" s="2" t="s">
        <v>31</v>
      </c>
    </row>
    <row r="16" spans="1:3" x14ac:dyDescent="0.25">
      <c r="A16" s="2" t="s">
        <v>32</v>
      </c>
      <c r="B16" s="3">
        <f>'05_Seating'!B8</f>
      </c>
      <c r="C16" s="2" t="s">
        <v>33</v>
      </c>
    </row>
    <row r="17" spans="1:3" x14ac:dyDescent="0.25">
      <c r="A17" s="2" t="s">
        <v>34</v>
      </c>
      <c r="B17" s="2">
        <v>1</v>
      </c>
      <c r="C17" s="2" t="s">
        <v>35</v>
      </c>
    </row>
    <row r="18" spans="1:3" x14ac:dyDescent="0.25">
      <c r="A18" s="2" t="s">
        <v>36</v>
      </c>
      <c r="B18" s="3">
        <f>COUNTIF('07_Suppliers'!B11:B999,"&lt;&gt;")</f>
      </c>
      <c r="C18" s="2" t="s">
        <v>37</v>
      </c>
    </row>
    <row r="19" spans="1:3" x14ac:dyDescent="0.25">
      <c r="A19" s="4" t="s">
        <v>38</v>
      </c>
      <c r="B19" s="5">
        <f>'08_Budget'!B2</f>
      </c>
      <c r="C19" s="4" t="s">
        <v>39</v>
      </c>
    </row>
    <row r="20" spans="1:3" x14ac:dyDescent="0.25">
      <c r="A20" s="4" t="s">
        <v>40</v>
      </c>
      <c r="B20" s="5">
        <f>'08_Budget'!B3</f>
      </c>
      <c r="C20" s="4" t="s">
        <v>41</v>
      </c>
    </row>
    <row r="21" spans="1:3" x14ac:dyDescent="0.25">
      <c r="A21" s="4" t="s">
        <v>42</v>
      </c>
      <c r="B21" s="5">
        <f>'08_Budget'!B8</f>
      </c>
      <c r="C21" s="4" t="s">
        <v>18</v>
      </c>
    </row>
    <row r="22" spans="1:3" x14ac:dyDescent="0.25">
      <c r="A22" s="4" t="s">
        <v>43</v>
      </c>
      <c r="B22" s="5">
        <f>IFERROR(B19/B6,0)</f>
      </c>
      <c r="C22" s="4" t="s">
        <v>44</v>
      </c>
    </row>
    <row r="23" spans="1:3" x14ac:dyDescent="0.25">
      <c r="A23" s="2" t="s">
        <v>45</v>
      </c>
      <c r="B23" s="3">
        <f>COUNTIF('10_Risks'!E2:E999,"פעיל")</f>
      </c>
      <c r="C23" s="2" t="s">
        <v>46</v>
      </c>
    </row>
    <row r="24" spans="1:3" x14ac:dyDescent="0.25">
      <c r="A24" s="2" t="s">
        <v>47</v>
      </c>
      <c r="B24" s="2" t="s">
        <v>48</v>
      </c>
      <c r="C24" s="2" t="s">
        <v>49</v>
      </c>
    </row>
    <row r="25" spans="1:3" x14ac:dyDescent="0.25">
      <c r="A25" s="6" t="s">
        <v>50</v>
      </c>
      <c r="B25" s="6" t="s">
        <v>50</v>
      </c>
      <c r="C25" s="6" t="s">
        <v>50</v>
      </c>
    </row>
    <row r="26" spans="1:3" x14ac:dyDescent="0.25">
      <c r="A26" s="7" t="s">
        <v>51</v>
      </c>
      <c r="B26" s="7" t="s">
        <v>52</v>
      </c>
      <c r="C26" s="7" t="s">
        <v>53</v>
      </c>
    </row>
    <row r="27" spans="1:3" x14ac:dyDescent="0.25">
      <c r="A27" s="2" t="s">
        <v>54</v>
      </c>
      <c r="B27" s="8" t="s">
        <v>55</v>
      </c>
      <c r="C27" s="2" t="s">
        <v>56</v>
      </c>
    </row>
    <row r="28" spans="1:3" x14ac:dyDescent="0.25">
      <c r="A28" s="2" t="s">
        <v>57</v>
      </c>
      <c r="B28" s="8" t="s">
        <v>58</v>
      </c>
      <c r="C28" s="2" t="s">
        <v>56</v>
      </c>
    </row>
    <row r="29" spans="1:3" x14ac:dyDescent="0.25">
      <c r="A29" s="2" t="s">
        <v>59</v>
      </c>
      <c r="B29" s="8" t="s">
        <v>60</v>
      </c>
      <c r="C29" s="2" t="s">
        <v>56</v>
      </c>
    </row>
    <row r="30" spans="1:3" x14ac:dyDescent="0.25">
      <c r="A30" s="2" t="s">
        <v>41</v>
      </c>
      <c r="B30" s="8" t="s">
        <v>61</v>
      </c>
      <c r="C30" s="2" t="s">
        <v>56</v>
      </c>
    </row>
    <row r="31" spans="1:3" x14ac:dyDescent="0.25">
      <c r="A31" s="2" t="s">
        <v>62</v>
      </c>
      <c r="B31" s="8" t="s">
        <v>63</v>
      </c>
      <c r="C31" s="2" t="s">
        <v>56</v>
      </c>
    </row>
  </sheetData>
  <sheetProtection sheet="1" formatColumns="0" formatRows="0" sort="0" autoFilter="0" algorithmName="SHA-512" hashValue="cqMjGuiS67rx8QHcSVzdKZekixNPhD1VmA4ceONBpVCi333a4iMSjvYYG6E2Lajj0XL20O1UFmAKUXreZo5rNQ==" saltValue="icUiWnV+Ysv7dk8CIlE/5Q==" spinCount="100000"/>
  <autoFilter ref="A1:C1"/>
  <hyperlinks>
    <hyperlink ref="B27" r:id="rId1"/>
    <hyperlink ref="B28" r:id="rId2"/>
    <hyperlink ref="B29" r:id="rId3"/>
    <hyperlink ref="B30" r:id="rId4"/>
    <hyperlink ref="B31" r:id="rId5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9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14" customWidth="1"/>
    <col min="4" max="4" width="22" customWidth="1"/>
    <col min="5" max="6" width="14" customWidth="1"/>
    <col min="7" max="7" width="30" customWidth="1"/>
    <col min="8" max="8" width="32" customWidth="1"/>
    <col min="9" max="10" width="42" customWidth="1"/>
    <col min="12" max="12" width="28" customWidth="1"/>
    <col min="13" max="13" width="56" customWidth="1"/>
  </cols>
  <sheetData>
    <row r="1" ht="24" customHeight="1" spans="1:13" x14ac:dyDescent="0.25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  <c r="J1" s="9" t="s">
        <v>73</v>
      </c>
      <c r="L1" s="9" t="s">
        <v>74</v>
      </c>
      <c r="M1" s="9" t="s">
        <v>75</v>
      </c>
    </row>
    <row r="2" spans="1:13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50</v>
      </c>
      <c r="G2" s="2" t="s">
        <v>50</v>
      </c>
      <c r="H2" s="3">
        <f>IF(OR(F2="",F2=0),"לא","כן")</f>
      </c>
      <c r="I2" s="3">
        <f>IF(ISNUMBER(SEARCH(",",D2)),"כן","לא")</f>
      </c>
      <c r="J2" s="3">
        <f>IF(OR(ISNUMBER(SEARCH(",",D2)),ISNUMBER(SEARCH("קבוצות",G2))),"כן","לא")</f>
      </c>
      <c r="L2" s="10" t="s">
        <v>81</v>
      </c>
      <c r="M2" s="8" t="s">
        <v>81</v>
      </c>
    </row>
    <row r="3" spans="1:10" x14ac:dyDescent="0.25">
      <c r="A3" s="2" t="s">
        <v>82</v>
      </c>
      <c r="B3" s="2" t="s">
        <v>83</v>
      </c>
      <c r="C3" s="2" t="s">
        <v>84</v>
      </c>
      <c r="D3" s="2" t="s">
        <v>85</v>
      </c>
      <c r="E3" s="2" t="s">
        <v>80</v>
      </c>
      <c r="F3" s="2">
        <v>1</v>
      </c>
      <c r="G3" s="2" t="s">
        <v>50</v>
      </c>
      <c r="H3" s="3">
        <f>IF(OR(F3="",F3=0),"לא","כן")</f>
      </c>
      <c r="I3" s="3">
        <f>IF(ISNUMBER(SEARCH(",",D3)),"כן","לא")</f>
      </c>
      <c r="J3" s="3">
        <f>IF(OR(ISNUMBER(SEARCH(",",D3)),ISNUMBER(SEARCH("קבוצות",G3))),"כן","לא")</f>
      </c>
    </row>
    <row r="4" spans="1:10" x14ac:dyDescent="0.25">
      <c r="A4" s="2" t="s">
        <v>86</v>
      </c>
      <c r="B4" s="2" t="s">
        <v>87</v>
      </c>
      <c r="C4" s="2" t="s">
        <v>84</v>
      </c>
      <c r="D4" s="2" t="s">
        <v>85</v>
      </c>
      <c r="E4" s="2" t="s">
        <v>80</v>
      </c>
      <c r="F4" s="2">
        <v>1</v>
      </c>
      <c r="G4" s="2" t="s">
        <v>50</v>
      </c>
      <c r="H4" s="3">
        <f>IF(OR(F4="",F4=0),"לא","כן")</f>
      </c>
      <c r="I4" s="3">
        <f>IF(ISNUMBER(SEARCH(",",D4)),"כן","לא")</f>
      </c>
      <c r="J4" s="3">
        <f>IF(OR(ISNUMBER(SEARCH(",",D4)),ISNUMBER(SEARCH("קבוצות",G4))),"כן","לא")</f>
      </c>
    </row>
    <row r="5" spans="1:10" x14ac:dyDescent="0.25">
      <c r="A5" s="2" t="s">
        <v>88</v>
      </c>
      <c r="B5" s="2" t="s">
        <v>89</v>
      </c>
      <c r="C5" s="2" t="s">
        <v>84</v>
      </c>
      <c r="D5" s="2" t="s">
        <v>90</v>
      </c>
      <c r="E5" s="2" t="s">
        <v>80</v>
      </c>
      <c r="F5" s="2">
        <v>3</v>
      </c>
      <c r="G5" s="2" t="s">
        <v>91</v>
      </c>
      <c r="H5" s="3">
        <f>IF(OR(F5="",F5=0),"לא","כן")</f>
      </c>
      <c r="I5" s="3">
        <f>IF(ISNUMBER(SEARCH(",",D5)),"כן","לא")</f>
      </c>
      <c r="J5" s="3">
        <f>IF(OR(ISNUMBER(SEARCH(",",D5)),ISNUMBER(SEARCH("קבוצות",G5))),"כן","לא")</f>
      </c>
    </row>
    <row r="6" spans="1:10" x14ac:dyDescent="0.25">
      <c r="A6" s="2" t="s">
        <v>92</v>
      </c>
      <c r="B6" s="2" t="s">
        <v>93</v>
      </c>
      <c r="C6" s="2" t="s">
        <v>84</v>
      </c>
      <c r="D6" s="2" t="s">
        <v>94</v>
      </c>
      <c r="E6" s="2" t="s">
        <v>80</v>
      </c>
      <c r="F6" s="2">
        <v>2</v>
      </c>
      <c r="G6" s="2" t="s">
        <v>50</v>
      </c>
      <c r="H6" s="3">
        <f>IF(OR(F6="",F6=0),"לא","כן")</f>
      </c>
      <c r="I6" s="3">
        <f>IF(ISNUMBER(SEARCH(",",D6)),"כן","לא")</f>
      </c>
      <c r="J6" s="3">
        <f>IF(OR(ISNUMBER(SEARCH(",",D6)),ISNUMBER(SEARCH("קבוצות",G6))),"כן","לא")</f>
      </c>
    </row>
    <row r="7" spans="1:10" x14ac:dyDescent="0.25">
      <c r="A7" s="2" t="s">
        <v>95</v>
      </c>
      <c r="B7" s="2" t="s">
        <v>96</v>
      </c>
      <c r="C7" s="2" t="s">
        <v>84</v>
      </c>
      <c r="D7" s="2" t="s">
        <v>94</v>
      </c>
      <c r="E7" s="2" t="s">
        <v>80</v>
      </c>
      <c r="F7" s="2">
        <v>2</v>
      </c>
      <c r="G7" s="2" t="s">
        <v>50</v>
      </c>
      <c r="H7" s="3">
        <f>IF(OR(F7="",F7=0),"לא","כן")</f>
      </c>
      <c r="I7" s="3">
        <f>IF(ISNUMBER(SEARCH(",",D7)),"כן","לא")</f>
      </c>
      <c r="J7" s="3">
        <f>IF(OR(ISNUMBER(SEARCH(",",D7)),ISNUMBER(SEARCH("קבוצות",G7))),"כן","לא")</f>
      </c>
    </row>
    <row r="8" spans="1:10" x14ac:dyDescent="0.25">
      <c r="A8" s="2" t="s">
        <v>97</v>
      </c>
      <c r="B8" s="2" t="s">
        <v>98</v>
      </c>
      <c r="C8" s="2" t="s">
        <v>84</v>
      </c>
      <c r="D8" s="2" t="s">
        <v>79</v>
      </c>
      <c r="E8" s="2" t="s">
        <v>99</v>
      </c>
      <c r="F8" s="2">
        <v>1</v>
      </c>
      <c r="G8" s="2" t="s">
        <v>100</v>
      </c>
      <c r="H8" s="3">
        <f>IF(OR(F8="",F8=0),"לא","כן")</f>
      </c>
      <c r="I8" s="3">
        <f>IF(ISNUMBER(SEARCH(",",D8)),"כן","לא")</f>
      </c>
      <c r="J8" s="3">
        <f>IF(OR(ISNUMBER(SEARCH(",",D8)),ISNUMBER(SEARCH("קבוצות",G8))),"כן","לא")</f>
      </c>
    </row>
    <row r="9" spans="1:10" x14ac:dyDescent="0.25">
      <c r="A9" s="2" t="s">
        <v>101</v>
      </c>
      <c r="B9" s="2" t="s">
        <v>102</v>
      </c>
      <c r="C9" s="2" t="s">
        <v>84</v>
      </c>
      <c r="D9" s="2" t="s">
        <v>103</v>
      </c>
      <c r="E9" s="2" t="s">
        <v>80</v>
      </c>
      <c r="F9" s="2">
        <v>3</v>
      </c>
      <c r="G9" s="2" t="s">
        <v>104</v>
      </c>
      <c r="H9" s="3">
        <f>IF(OR(F9="",F9=0),"לא","כן")</f>
      </c>
      <c r="I9" s="3">
        <f>IF(ISNUMBER(SEARCH(",",D9)),"כן","לא")</f>
      </c>
      <c r="J9" s="3">
        <f>IF(OR(ISNUMBER(SEARCH(",",D9)),ISNUMBER(SEARCH("קבוצות",G9))),"כן","לא")</f>
      </c>
    </row>
    <row r="10" spans="2:10" x14ac:dyDescent="0.25">
      <c r="B10" s="11"/>
      <c r="C10" s="11"/>
      <c r="D10" s="11"/>
      <c r="E10" s="11"/>
      <c r="F10" s="11"/>
      <c r="G10" s="11"/>
      <c r="H10" s="3">
        <f>IF(OR(F10="",F10=0),"לא","כן")</f>
      </c>
      <c r="I10" s="3">
        <f>IF(ISNUMBER(SEARCH(",",D10)),"כן","לא")</f>
      </c>
      <c r="J10" s="3">
        <f>IF(OR(ISNUMBER(SEARCH(",",D10)),ISNUMBER(SEARCH("קבוצות",G10))),"כן","לא")</f>
      </c>
    </row>
    <row r="11" spans="2:10" x14ac:dyDescent="0.25">
      <c r="B11" s="11"/>
      <c r="C11" s="11"/>
      <c r="D11" s="11"/>
      <c r="E11" s="11"/>
      <c r="F11" s="11"/>
      <c r="G11" s="11"/>
      <c r="H11" s="3">
        <f>IF(OR(F11="",F11=0),"לא","כן")</f>
      </c>
      <c r="I11" s="3">
        <f>IF(ISNUMBER(SEARCH(",",D11)),"כן","לא")</f>
      </c>
      <c r="J11" s="3">
        <f>IF(OR(ISNUMBER(SEARCH(",",D11)),ISNUMBER(SEARCH("קבוצות",G11))),"כן","לא")</f>
      </c>
    </row>
    <row r="12" spans="2:10" x14ac:dyDescent="0.25">
      <c r="B12" s="11"/>
      <c r="C12" s="11"/>
      <c r="D12" s="11"/>
      <c r="E12" s="11"/>
      <c r="F12" s="11"/>
      <c r="G12" s="11"/>
      <c r="H12" s="3">
        <f>IF(OR(F12="",F12=0),"לא","כן")</f>
      </c>
      <c r="I12" s="3">
        <f>IF(ISNUMBER(SEARCH(",",D12)),"כן","לא")</f>
      </c>
      <c r="J12" s="3">
        <f>IF(OR(ISNUMBER(SEARCH(",",D12)),ISNUMBER(SEARCH("קבוצות",G12))),"כן","לא")</f>
      </c>
    </row>
    <row r="13" spans="2:10" x14ac:dyDescent="0.25">
      <c r="B13" s="11"/>
      <c r="C13" s="11"/>
      <c r="D13" s="11"/>
      <c r="E13" s="11"/>
      <c r="F13" s="11"/>
      <c r="G13" s="11"/>
      <c r="H13" s="3">
        <f>IF(OR(F13="",F13=0),"לא","כן")</f>
      </c>
      <c r="I13" s="3">
        <f>IF(ISNUMBER(SEARCH(",",D13)),"כן","לא")</f>
      </c>
      <c r="J13" s="3">
        <f>IF(OR(ISNUMBER(SEARCH(",",D13)),ISNUMBER(SEARCH("קבוצות",G13))),"כן","לא")</f>
      </c>
    </row>
    <row r="14" spans="2:10" x14ac:dyDescent="0.25">
      <c r="B14" s="11"/>
      <c r="C14" s="11"/>
      <c r="D14" s="11"/>
      <c r="E14" s="11"/>
      <c r="F14" s="11"/>
      <c r="G14" s="11"/>
      <c r="H14" s="3">
        <f>IF(OR(F14="",F14=0),"לא","כן")</f>
      </c>
      <c r="I14" s="3">
        <f>IF(ISNUMBER(SEARCH(",",D14)),"כן","לא")</f>
      </c>
      <c r="J14" s="3">
        <f>IF(OR(ISNUMBER(SEARCH(",",D14)),ISNUMBER(SEARCH("קבוצות",G14))),"כן","לא")</f>
      </c>
    </row>
    <row r="15" spans="2:10" x14ac:dyDescent="0.25">
      <c r="B15" s="11"/>
      <c r="C15" s="11"/>
      <c r="D15" s="11"/>
      <c r="E15" s="11"/>
      <c r="F15" s="11"/>
      <c r="G15" s="11"/>
      <c r="H15" s="3">
        <f>IF(OR(F15="",F15=0),"לא","כן")</f>
      </c>
      <c r="I15" s="3">
        <f>IF(ISNUMBER(SEARCH(",",D15)),"כן","לא")</f>
      </c>
      <c r="J15" s="3">
        <f>IF(OR(ISNUMBER(SEARCH(",",D15)),ISNUMBER(SEARCH("קבוצות",G15))),"כן","לא")</f>
      </c>
    </row>
    <row r="16" spans="2:10" x14ac:dyDescent="0.25">
      <c r="B16" s="11"/>
      <c r="C16" s="11"/>
      <c r="D16" s="11"/>
      <c r="E16" s="11"/>
      <c r="F16" s="11"/>
      <c r="G16" s="11"/>
      <c r="H16" s="3">
        <f>IF(OR(F16="",F16=0),"לא","כן")</f>
      </c>
      <c r="I16" s="3">
        <f>IF(ISNUMBER(SEARCH(",",D16)),"כן","לא")</f>
      </c>
      <c r="J16" s="3">
        <f>IF(OR(ISNUMBER(SEARCH(",",D16)),ISNUMBER(SEARCH("קבוצות",G16))),"כן","לא")</f>
      </c>
    </row>
    <row r="17" spans="2:10" x14ac:dyDescent="0.25">
      <c r="B17" s="11"/>
      <c r="C17" s="11"/>
      <c r="D17" s="11"/>
      <c r="E17" s="11"/>
      <c r="F17" s="11"/>
      <c r="G17" s="11"/>
      <c r="H17" s="3">
        <f>IF(OR(F17="",F17=0),"לא","כן")</f>
      </c>
      <c r="I17" s="3">
        <f>IF(ISNUMBER(SEARCH(",",D17)),"כן","לא")</f>
      </c>
      <c r="J17" s="3">
        <f>IF(OR(ISNUMBER(SEARCH(",",D17)),ISNUMBER(SEARCH("קבוצות",G17))),"כן","לא")</f>
      </c>
    </row>
    <row r="18" spans="2:10" x14ac:dyDescent="0.25">
      <c r="B18" s="11"/>
      <c r="C18" s="11"/>
      <c r="D18" s="11"/>
      <c r="E18" s="11"/>
      <c r="F18" s="11"/>
      <c r="G18" s="11"/>
      <c r="H18" s="3">
        <f>IF(OR(F18="",F18=0),"לא","כן")</f>
      </c>
      <c r="I18" s="3">
        <f>IF(ISNUMBER(SEARCH(",",D18)),"כן","לא")</f>
      </c>
      <c r="J18" s="3">
        <f>IF(OR(ISNUMBER(SEARCH(",",D18)),ISNUMBER(SEARCH("קבוצות",G18))),"כן","לא")</f>
      </c>
    </row>
    <row r="19" spans="2:10" x14ac:dyDescent="0.25">
      <c r="B19" s="11"/>
      <c r="C19" s="11"/>
      <c r="D19" s="11"/>
      <c r="E19" s="11"/>
      <c r="F19" s="11"/>
      <c r="G19" s="11"/>
      <c r="H19" s="3">
        <f>IF(OR(F19="",F19=0),"לא","כן")</f>
      </c>
      <c r="I19" s="3">
        <f>IF(ISNUMBER(SEARCH(",",D19)),"כן","לא")</f>
      </c>
      <c r="J19" s="3">
        <f>IF(OR(ISNUMBER(SEARCH(",",D19)),ISNUMBER(SEARCH("קבוצות",G19))),"כן","לא")</f>
      </c>
    </row>
    <row r="20" spans="2:10" x14ac:dyDescent="0.25">
      <c r="B20" s="11"/>
      <c r="C20" s="11"/>
      <c r="D20" s="11"/>
      <c r="E20" s="11"/>
      <c r="F20" s="11"/>
      <c r="G20" s="11"/>
      <c r="H20" s="3">
        <f>IF(OR(F20="",F20=0),"לא","כן")</f>
      </c>
      <c r="I20" s="3">
        <f>IF(ISNUMBER(SEARCH(",",D20)),"כן","לא")</f>
      </c>
      <c r="J20" s="3">
        <f>IF(OR(ISNUMBER(SEARCH(",",D20)),ISNUMBER(SEARCH("קבוצות",G20))),"כן","לא")</f>
      </c>
    </row>
    <row r="21" spans="2:10" x14ac:dyDescent="0.25">
      <c r="B21" s="11"/>
      <c r="C21" s="11"/>
      <c r="D21" s="11"/>
      <c r="E21" s="11"/>
      <c r="F21" s="11"/>
      <c r="G21" s="11"/>
      <c r="H21" s="3">
        <f>IF(OR(F21="",F21=0),"לא","כן")</f>
      </c>
      <c r="I21" s="3">
        <f>IF(ISNUMBER(SEARCH(",",D21)),"כן","לא")</f>
      </c>
      <c r="J21" s="3">
        <f>IF(OR(ISNUMBER(SEARCH(",",D21)),ISNUMBER(SEARCH("קבוצות",G21))),"כן","לא")</f>
      </c>
    </row>
    <row r="22" spans="2:10" x14ac:dyDescent="0.25">
      <c r="B22" s="11"/>
      <c r="C22" s="11"/>
      <c r="D22" s="11"/>
      <c r="E22" s="11"/>
      <c r="F22" s="11"/>
      <c r="G22" s="11"/>
      <c r="H22" s="3">
        <f>IF(OR(F22="",F22=0),"לא","כן")</f>
      </c>
      <c r="I22" s="3">
        <f>IF(ISNUMBER(SEARCH(",",D22)),"כן","לא")</f>
      </c>
      <c r="J22" s="3">
        <f>IF(OR(ISNUMBER(SEARCH(",",D22)),ISNUMBER(SEARCH("קבוצות",G22))),"כן","לא")</f>
      </c>
    </row>
    <row r="23" spans="2:10" x14ac:dyDescent="0.25">
      <c r="B23" s="11"/>
      <c r="C23" s="11"/>
      <c r="D23" s="11"/>
      <c r="E23" s="11"/>
      <c r="F23" s="11"/>
      <c r="G23" s="11"/>
      <c r="H23" s="3">
        <f>IF(OR(F23="",F23=0),"לא","כן")</f>
      </c>
      <c r="I23" s="3">
        <f>IF(ISNUMBER(SEARCH(",",D23)),"כן","לא")</f>
      </c>
      <c r="J23" s="3">
        <f>IF(OR(ISNUMBER(SEARCH(",",D23)),ISNUMBER(SEARCH("קבוצות",G23))),"כן","לא")</f>
      </c>
    </row>
    <row r="24" spans="2:10" x14ac:dyDescent="0.25">
      <c r="B24" s="11"/>
      <c r="C24" s="11"/>
      <c r="D24" s="11"/>
      <c r="E24" s="11"/>
      <c r="F24" s="11"/>
      <c r="G24" s="11"/>
      <c r="H24" s="3">
        <f>IF(OR(F24="",F24=0),"לא","כן")</f>
      </c>
      <c r="I24" s="3">
        <f>IF(ISNUMBER(SEARCH(",",D24)),"כן","לא")</f>
      </c>
      <c r="J24" s="3">
        <f>IF(OR(ISNUMBER(SEARCH(",",D24)),ISNUMBER(SEARCH("קבוצות",G24))),"כן","לא")</f>
      </c>
    </row>
    <row r="25" spans="2:10" x14ac:dyDescent="0.25">
      <c r="B25" s="11"/>
      <c r="C25" s="11"/>
      <c r="D25" s="11"/>
      <c r="E25" s="11"/>
      <c r="F25" s="11"/>
      <c r="G25" s="11"/>
      <c r="H25" s="3">
        <f>IF(OR(F25="",F25=0),"לא","כן")</f>
      </c>
      <c r="I25" s="3">
        <f>IF(ISNUMBER(SEARCH(",",D25)),"כן","לא")</f>
      </c>
      <c r="J25" s="3">
        <f>IF(OR(ISNUMBER(SEARCH(",",D25)),ISNUMBER(SEARCH("קבוצות",G25))),"כן","לא")</f>
      </c>
    </row>
    <row r="26" spans="2:10" x14ac:dyDescent="0.25">
      <c r="B26" s="11"/>
      <c r="C26" s="11"/>
      <c r="D26" s="11"/>
      <c r="E26" s="11"/>
      <c r="F26" s="11"/>
      <c r="G26" s="11"/>
      <c r="H26" s="3">
        <f>IF(OR(F26="",F26=0),"לא","כן")</f>
      </c>
      <c r="I26" s="3">
        <f>IF(ISNUMBER(SEARCH(",",D26)),"כן","לא")</f>
      </c>
      <c r="J26" s="3">
        <f>IF(OR(ISNUMBER(SEARCH(",",D26)),ISNUMBER(SEARCH("קבוצות",G26))),"כן","לא")</f>
      </c>
    </row>
    <row r="27" spans="2:10" x14ac:dyDescent="0.25">
      <c r="B27" s="11"/>
      <c r="C27" s="11"/>
      <c r="D27" s="11"/>
      <c r="E27" s="11"/>
      <c r="F27" s="11"/>
      <c r="G27" s="11"/>
      <c r="H27" s="3">
        <f>IF(OR(F27="",F27=0),"לא","כן")</f>
      </c>
      <c r="I27" s="3">
        <f>IF(ISNUMBER(SEARCH(",",D27)),"כן","לא")</f>
      </c>
      <c r="J27" s="3">
        <f>IF(OR(ISNUMBER(SEARCH(",",D27)),ISNUMBER(SEARCH("קבוצות",G27))),"כן","לא")</f>
      </c>
    </row>
    <row r="28" spans="2:10" x14ac:dyDescent="0.25">
      <c r="B28" s="11"/>
      <c r="C28" s="11"/>
      <c r="D28" s="11"/>
      <c r="E28" s="11"/>
      <c r="F28" s="11"/>
      <c r="G28" s="11"/>
      <c r="H28" s="3">
        <f>IF(OR(F28="",F28=0),"לא","כן")</f>
      </c>
      <c r="I28" s="3">
        <f>IF(ISNUMBER(SEARCH(",",D28)),"כן","לא")</f>
      </c>
      <c r="J28" s="3">
        <f>IF(OR(ISNUMBER(SEARCH(",",D28)),ISNUMBER(SEARCH("קבוצות",G28))),"כן","לא")</f>
      </c>
    </row>
    <row r="29" spans="2:10" x14ac:dyDescent="0.25">
      <c r="B29" s="11"/>
      <c r="C29" s="11"/>
      <c r="D29" s="11"/>
      <c r="E29" s="11"/>
      <c r="F29" s="11"/>
      <c r="G29" s="11"/>
      <c r="H29" s="3">
        <f>IF(OR(F29="",F29=0),"לא","כן")</f>
      </c>
      <c r="I29" s="3">
        <f>IF(ISNUMBER(SEARCH(",",D29)),"כן","לא")</f>
      </c>
      <c r="J29" s="3">
        <f>IF(OR(ISNUMBER(SEARCH(",",D29)),ISNUMBER(SEARCH("קבוצות",G29))),"כן","לא")</f>
      </c>
    </row>
    <row r="30" spans="2:10" x14ac:dyDescent="0.25">
      <c r="B30" s="11"/>
      <c r="C30" s="11"/>
      <c r="D30" s="11"/>
      <c r="E30" s="11"/>
      <c r="F30" s="11"/>
      <c r="G30" s="11"/>
      <c r="H30" s="3">
        <f>IF(OR(F30="",F30=0),"לא","כן")</f>
      </c>
      <c r="I30" s="3">
        <f>IF(ISNUMBER(SEARCH(",",D30)),"כן","לא")</f>
      </c>
      <c r="J30" s="3">
        <f>IF(OR(ISNUMBER(SEARCH(",",D30)),ISNUMBER(SEARCH("קבוצות",G30))),"כן","לא")</f>
      </c>
    </row>
    <row r="31" spans="2:10" x14ac:dyDescent="0.25">
      <c r="B31" s="11"/>
      <c r="C31" s="11"/>
      <c r="D31" s="11"/>
      <c r="E31" s="11"/>
      <c r="F31" s="11"/>
      <c r="G31" s="11"/>
      <c r="H31" s="3">
        <f>IF(OR(F31="",F31=0),"לא","כן")</f>
      </c>
      <c r="I31" s="3">
        <f>IF(ISNUMBER(SEARCH(",",D31)),"כן","לא")</f>
      </c>
      <c r="J31" s="3">
        <f>IF(OR(ISNUMBER(SEARCH(",",D31)),ISNUMBER(SEARCH("קבוצות",G31))),"כן","לא")</f>
      </c>
    </row>
    <row r="32" spans="2:10" x14ac:dyDescent="0.25">
      <c r="B32" s="11"/>
      <c r="C32" s="11"/>
      <c r="D32" s="11"/>
      <c r="E32" s="11"/>
      <c r="F32" s="11"/>
      <c r="G32" s="11"/>
      <c r="H32" s="3">
        <f>IF(OR(F32="",F32=0),"לא","כן")</f>
      </c>
      <c r="I32" s="3">
        <f>IF(ISNUMBER(SEARCH(",",D32)),"כן","לא")</f>
      </c>
      <c r="J32" s="3">
        <f>IF(OR(ISNUMBER(SEARCH(",",D32)),ISNUMBER(SEARCH("קבוצות",G32))),"כן","לא")</f>
      </c>
    </row>
    <row r="33" spans="2:10" x14ac:dyDescent="0.25">
      <c r="B33" s="11"/>
      <c r="C33" s="11"/>
      <c r="D33" s="11"/>
      <c r="E33" s="11"/>
      <c r="F33" s="11"/>
      <c r="G33" s="11"/>
      <c r="H33" s="3">
        <f>IF(OR(F33="",F33=0),"לא","כן")</f>
      </c>
      <c r="I33" s="3">
        <f>IF(ISNUMBER(SEARCH(",",D33)),"כן","לא")</f>
      </c>
      <c r="J33" s="3">
        <f>IF(OR(ISNUMBER(SEARCH(",",D33)),ISNUMBER(SEARCH("קבוצות",G33))),"כן","לא")</f>
      </c>
    </row>
    <row r="34" spans="2:10" x14ac:dyDescent="0.25">
      <c r="B34" s="11"/>
      <c r="C34" s="11"/>
      <c r="D34" s="11"/>
      <c r="E34" s="11"/>
      <c r="F34" s="11"/>
      <c r="G34" s="11"/>
      <c r="H34" s="3">
        <f>IF(OR(F34="",F34=0),"לא","כן")</f>
      </c>
      <c r="I34" s="3">
        <f>IF(ISNUMBER(SEARCH(",",D34)),"כן","לא")</f>
      </c>
      <c r="J34" s="3">
        <f>IF(OR(ISNUMBER(SEARCH(",",D34)),ISNUMBER(SEARCH("קבוצות",G34))),"כן","לא")</f>
      </c>
    </row>
    <row r="35" spans="2:10" x14ac:dyDescent="0.25">
      <c r="B35" s="11"/>
      <c r="C35" s="11"/>
      <c r="D35" s="11"/>
      <c r="E35" s="11"/>
      <c r="F35" s="11"/>
      <c r="G35" s="11"/>
      <c r="H35" s="3">
        <f>IF(OR(F35="",F35=0),"לא","כן")</f>
      </c>
      <c r="I35" s="3">
        <f>IF(ISNUMBER(SEARCH(",",D35)),"כן","לא")</f>
      </c>
      <c r="J35" s="3">
        <f>IF(OR(ISNUMBER(SEARCH(",",D35)),ISNUMBER(SEARCH("קבוצות",G35))),"כן","לא")</f>
      </c>
    </row>
    <row r="36" spans="2:10" x14ac:dyDescent="0.25">
      <c r="B36" s="11"/>
      <c r="C36" s="11"/>
      <c r="D36" s="11"/>
      <c r="E36" s="11"/>
      <c r="F36" s="11"/>
      <c r="G36" s="11"/>
      <c r="H36" s="3">
        <f>IF(OR(F36="",F36=0),"לא","כן")</f>
      </c>
      <c r="I36" s="3">
        <f>IF(ISNUMBER(SEARCH(",",D36)),"כן","לא")</f>
      </c>
      <c r="J36" s="3">
        <f>IF(OR(ISNUMBER(SEARCH(",",D36)),ISNUMBER(SEARCH("קבוצות",G36))),"כן","לא")</f>
      </c>
    </row>
    <row r="37" spans="2:10" x14ac:dyDescent="0.25">
      <c r="B37" s="11"/>
      <c r="C37" s="11"/>
      <c r="D37" s="11"/>
      <c r="E37" s="11"/>
      <c r="F37" s="11"/>
      <c r="G37" s="11"/>
      <c r="H37" s="3">
        <f>IF(OR(F37="",F37=0),"לא","כן")</f>
      </c>
      <c r="I37" s="3">
        <f>IF(ISNUMBER(SEARCH(",",D37)),"כן","לא")</f>
      </c>
      <c r="J37" s="3">
        <f>IF(OR(ISNUMBER(SEARCH(",",D37)),ISNUMBER(SEARCH("קבוצות",G37))),"כן","לא")</f>
      </c>
    </row>
    <row r="38" spans="2:10" x14ac:dyDescent="0.25">
      <c r="B38" s="11"/>
      <c r="C38" s="11"/>
      <c r="D38" s="11"/>
      <c r="E38" s="11"/>
      <c r="F38" s="11"/>
      <c r="G38" s="11"/>
      <c r="H38" s="3">
        <f>IF(OR(F38="",F38=0),"לא","כן")</f>
      </c>
      <c r="I38" s="3">
        <f>IF(ISNUMBER(SEARCH(",",D38)),"כן","לא")</f>
      </c>
      <c r="J38" s="3">
        <f>IF(OR(ISNUMBER(SEARCH(",",D38)),ISNUMBER(SEARCH("קבוצות",G38))),"כן","לא")</f>
      </c>
    </row>
    <row r="39" spans="2:10" x14ac:dyDescent="0.25">
      <c r="B39" s="11"/>
      <c r="C39" s="11"/>
      <c r="D39" s="11"/>
      <c r="E39" s="11"/>
      <c r="F39" s="11"/>
      <c r="G39" s="11"/>
      <c r="H39" s="3">
        <f>IF(OR(F39="",F39=0),"לא","כן")</f>
      </c>
      <c r="I39" s="3">
        <f>IF(ISNUMBER(SEARCH(",",D39)),"כן","לא")</f>
      </c>
      <c r="J39" s="3">
        <f>IF(OR(ISNUMBER(SEARCH(",",D39)),ISNUMBER(SEARCH("קבוצות",G39))),"כן","לא")</f>
      </c>
    </row>
    <row r="40" spans="2:10" x14ac:dyDescent="0.25">
      <c r="B40" s="11"/>
      <c r="C40" s="11"/>
      <c r="D40" s="11"/>
      <c r="E40" s="11"/>
      <c r="F40" s="11"/>
      <c r="G40" s="11"/>
      <c r="H40" s="3">
        <f>IF(OR(F40="",F40=0),"לא","כן")</f>
      </c>
      <c r="I40" s="3">
        <f>IF(ISNUMBER(SEARCH(",",D40)),"כן","לא")</f>
      </c>
      <c r="J40" s="3">
        <f>IF(OR(ISNUMBER(SEARCH(",",D40)),ISNUMBER(SEARCH("קבוצות",G40))),"כן","לא")</f>
      </c>
    </row>
    <row r="41" spans="2:10" x14ac:dyDescent="0.25">
      <c r="B41" s="11"/>
      <c r="C41" s="11"/>
      <c r="D41" s="11"/>
      <c r="E41" s="11"/>
      <c r="F41" s="11"/>
      <c r="G41" s="11"/>
      <c r="H41" s="3">
        <f>IF(OR(F41="",F41=0),"לא","כן")</f>
      </c>
      <c r="I41" s="3">
        <f>IF(ISNUMBER(SEARCH(",",D41)),"כן","לא")</f>
      </c>
      <c r="J41" s="3">
        <f>IF(OR(ISNUMBER(SEARCH(",",D41)),ISNUMBER(SEARCH("קבוצות",G41))),"כן","לא")</f>
      </c>
    </row>
    <row r="42" spans="2:10" x14ac:dyDescent="0.25">
      <c r="B42" s="11"/>
      <c r="C42" s="11"/>
      <c r="D42" s="11"/>
      <c r="E42" s="11"/>
      <c r="F42" s="11"/>
      <c r="G42" s="11"/>
      <c r="H42" s="3">
        <f>IF(OR(F42="",F42=0),"לא","כן")</f>
      </c>
      <c r="I42" s="3">
        <f>IF(ISNUMBER(SEARCH(",",D42)),"כן","לא")</f>
      </c>
      <c r="J42" s="3">
        <f>IF(OR(ISNUMBER(SEARCH(",",D42)),ISNUMBER(SEARCH("קבוצות",G42))),"כן","לא")</f>
      </c>
    </row>
    <row r="43" spans="2:10" x14ac:dyDescent="0.25">
      <c r="B43" s="11"/>
      <c r="C43" s="11"/>
      <c r="D43" s="11"/>
      <c r="E43" s="11"/>
      <c r="F43" s="11"/>
      <c r="G43" s="11"/>
      <c r="H43" s="3">
        <f>IF(OR(F43="",F43=0),"לא","כן")</f>
      </c>
      <c r="I43" s="3">
        <f>IF(ISNUMBER(SEARCH(",",D43)),"כן","לא")</f>
      </c>
      <c r="J43" s="3">
        <f>IF(OR(ISNUMBER(SEARCH(",",D43)),ISNUMBER(SEARCH("קבוצות",G43))),"כן","לא")</f>
      </c>
    </row>
    <row r="44" spans="2:10" x14ac:dyDescent="0.25">
      <c r="B44" s="11"/>
      <c r="C44" s="11"/>
      <c r="D44" s="11"/>
      <c r="E44" s="11"/>
      <c r="F44" s="11"/>
      <c r="G44" s="11"/>
      <c r="H44" s="3">
        <f>IF(OR(F44="",F44=0),"לא","כן")</f>
      </c>
      <c r="I44" s="3">
        <f>IF(ISNUMBER(SEARCH(",",D44)),"כן","לא")</f>
      </c>
      <c r="J44" s="3">
        <f>IF(OR(ISNUMBER(SEARCH(",",D44)),ISNUMBER(SEARCH("קבוצות",G44))),"כן","לא")</f>
      </c>
    </row>
    <row r="45" spans="2:10" x14ac:dyDescent="0.25">
      <c r="B45" s="11"/>
      <c r="C45" s="11"/>
      <c r="D45" s="11"/>
      <c r="E45" s="11"/>
      <c r="F45" s="11"/>
      <c r="G45" s="11"/>
      <c r="H45" s="3">
        <f>IF(OR(F45="",F45=0),"לא","כן")</f>
      </c>
      <c r="I45" s="3">
        <f>IF(ISNUMBER(SEARCH(",",D45)),"כן","לא")</f>
      </c>
      <c r="J45" s="3">
        <f>IF(OR(ISNUMBER(SEARCH(",",D45)),ISNUMBER(SEARCH("קבוצות",G45))),"כן","לא")</f>
      </c>
    </row>
    <row r="46" spans="2:10" x14ac:dyDescent="0.25">
      <c r="B46" s="11"/>
      <c r="C46" s="11"/>
      <c r="D46" s="11"/>
      <c r="E46" s="11"/>
      <c r="F46" s="11"/>
      <c r="G46" s="11"/>
      <c r="H46" s="3">
        <f>IF(OR(F46="",F46=0),"לא","כן")</f>
      </c>
      <c r="I46" s="3">
        <f>IF(ISNUMBER(SEARCH(",",D46)),"כן","לא")</f>
      </c>
      <c r="J46" s="3">
        <f>IF(OR(ISNUMBER(SEARCH(",",D46)),ISNUMBER(SEARCH("קבוצות",G46))),"כן","לא")</f>
      </c>
    </row>
    <row r="47" spans="2:10" x14ac:dyDescent="0.25">
      <c r="B47" s="11"/>
      <c r="C47" s="11"/>
      <c r="D47" s="11"/>
      <c r="E47" s="11"/>
      <c r="F47" s="11"/>
      <c r="G47" s="11"/>
      <c r="H47" s="3">
        <f>IF(OR(F47="",F47=0),"לא","כן")</f>
      </c>
      <c r="I47" s="3">
        <f>IF(ISNUMBER(SEARCH(",",D47)),"כן","לא")</f>
      </c>
      <c r="J47" s="3">
        <f>IF(OR(ISNUMBER(SEARCH(",",D47)),ISNUMBER(SEARCH("קבוצות",G47))),"כן","לא")</f>
      </c>
    </row>
    <row r="48" spans="2:10" x14ac:dyDescent="0.25">
      <c r="B48" s="11"/>
      <c r="C48" s="11"/>
      <c r="D48" s="11"/>
      <c r="E48" s="11"/>
      <c r="F48" s="11"/>
      <c r="G48" s="11"/>
      <c r="H48" s="3">
        <f>IF(OR(F48="",F48=0),"לא","כן")</f>
      </c>
      <c r="I48" s="3">
        <f>IF(ISNUMBER(SEARCH(",",D48)),"כן","לא")</f>
      </c>
      <c r="J48" s="3">
        <f>IF(OR(ISNUMBER(SEARCH(",",D48)),ISNUMBER(SEARCH("קבוצות",G48))),"כן","לא")</f>
      </c>
    </row>
    <row r="49" spans="2:10" x14ac:dyDescent="0.25">
      <c r="B49" s="11"/>
      <c r="C49" s="11"/>
      <c r="D49" s="11"/>
      <c r="E49" s="11"/>
      <c r="F49" s="11"/>
      <c r="G49" s="11"/>
      <c r="H49" s="3">
        <f>IF(OR(F49="",F49=0),"לא","כן")</f>
      </c>
      <c r="I49" s="3">
        <f>IF(ISNUMBER(SEARCH(",",D49)),"כן","לא")</f>
      </c>
      <c r="J49" s="3">
        <f>IF(OR(ISNUMBER(SEARCH(",",D49)),ISNUMBER(SEARCH("קבוצות",G49))),"כן","לא")</f>
      </c>
    </row>
    <row r="50" spans="2:10" x14ac:dyDescent="0.25">
      <c r="B50" s="11"/>
      <c r="C50" s="11"/>
      <c r="D50" s="11"/>
      <c r="E50" s="11"/>
      <c r="F50" s="11"/>
      <c r="G50" s="11"/>
      <c r="H50" s="3">
        <f>IF(OR(F50="",F50=0),"לא","כן")</f>
      </c>
      <c r="I50" s="3">
        <f>IF(ISNUMBER(SEARCH(",",D50)),"כן","לא")</f>
      </c>
      <c r="J50" s="3">
        <f>IF(OR(ISNUMBER(SEARCH(",",D50)),ISNUMBER(SEARCH("קבוצות",G50))),"כן","לא")</f>
      </c>
    </row>
    <row r="51" spans="2:10" x14ac:dyDescent="0.25">
      <c r="B51" s="11"/>
      <c r="C51" s="11"/>
      <c r="D51" s="11"/>
      <c r="E51" s="11"/>
      <c r="F51" s="11"/>
      <c r="G51" s="11"/>
      <c r="H51" s="3">
        <f>IF(OR(F51="",F51=0),"לא","כן")</f>
      </c>
      <c r="I51" s="3">
        <f>IF(ISNUMBER(SEARCH(",",D51)),"כן","לא")</f>
      </c>
      <c r="J51" s="3">
        <f>IF(OR(ISNUMBER(SEARCH(",",D51)),ISNUMBER(SEARCH("קבוצות",G51))),"כן","לא")</f>
      </c>
    </row>
    <row r="52" spans="2:10" x14ac:dyDescent="0.25">
      <c r="B52" s="11"/>
      <c r="C52" s="11"/>
      <c r="D52" s="11"/>
      <c r="E52" s="11"/>
      <c r="F52" s="11"/>
      <c r="G52" s="11"/>
      <c r="H52" s="3">
        <f>IF(OR(F52="",F52=0),"לא","כן")</f>
      </c>
      <c r="I52" s="3">
        <f>IF(ISNUMBER(SEARCH(",",D52)),"כן","לא")</f>
      </c>
      <c r="J52" s="3">
        <f>IF(OR(ISNUMBER(SEARCH(",",D52)),ISNUMBER(SEARCH("קבוצות",G52))),"כן","לא")</f>
      </c>
    </row>
    <row r="53" spans="2:10" x14ac:dyDescent="0.25">
      <c r="B53" s="11"/>
      <c r="C53" s="11"/>
      <c r="D53" s="11"/>
      <c r="E53" s="11"/>
      <c r="F53" s="11"/>
      <c r="G53" s="11"/>
      <c r="H53" s="3">
        <f>IF(OR(F53="",F53=0),"לא","כן")</f>
      </c>
      <c r="I53" s="3">
        <f>IF(ISNUMBER(SEARCH(",",D53)),"כן","לא")</f>
      </c>
      <c r="J53" s="3">
        <f>IF(OR(ISNUMBER(SEARCH(",",D53)),ISNUMBER(SEARCH("קבוצות",G53))),"כן","לא")</f>
      </c>
    </row>
    <row r="54" spans="2:10" x14ac:dyDescent="0.25">
      <c r="B54" s="11"/>
      <c r="C54" s="11"/>
      <c r="D54" s="11"/>
      <c r="E54" s="11"/>
      <c r="F54" s="11"/>
      <c r="G54" s="11"/>
      <c r="H54" s="3">
        <f>IF(OR(F54="",F54=0),"לא","כן")</f>
      </c>
      <c r="I54" s="3">
        <f>IF(ISNUMBER(SEARCH(",",D54)),"כן","לא")</f>
      </c>
      <c r="J54" s="3">
        <f>IF(OR(ISNUMBER(SEARCH(",",D54)),ISNUMBER(SEARCH("קבוצות",G54))),"כן","לא")</f>
      </c>
    </row>
    <row r="55" spans="2:10" x14ac:dyDescent="0.25">
      <c r="B55" s="11"/>
      <c r="C55" s="11"/>
      <c r="D55" s="11"/>
      <c r="E55" s="11"/>
      <c r="F55" s="11"/>
      <c r="G55" s="11"/>
      <c r="H55" s="3">
        <f>IF(OR(F55="",F55=0),"לא","כן")</f>
      </c>
      <c r="I55" s="3">
        <f>IF(ISNUMBER(SEARCH(",",D55)),"כן","לא")</f>
      </c>
      <c r="J55" s="3">
        <f>IF(OR(ISNUMBER(SEARCH(",",D55)),ISNUMBER(SEARCH("קבוצות",G55))),"כן","לא")</f>
      </c>
    </row>
    <row r="56" spans="2:10" x14ac:dyDescent="0.25">
      <c r="B56" s="11"/>
      <c r="C56" s="11"/>
      <c r="D56" s="11"/>
      <c r="E56" s="11"/>
      <c r="F56" s="11"/>
      <c r="G56" s="11"/>
      <c r="H56" s="3">
        <f>IF(OR(F56="",F56=0),"לא","כן")</f>
      </c>
      <c r="I56" s="3">
        <f>IF(ISNUMBER(SEARCH(",",D56)),"כן","לא")</f>
      </c>
      <c r="J56" s="3">
        <f>IF(OR(ISNUMBER(SEARCH(",",D56)),ISNUMBER(SEARCH("קבוצות",G56))),"כן","לא")</f>
      </c>
    </row>
    <row r="57" spans="2:10" x14ac:dyDescent="0.25">
      <c r="B57" s="11"/>
      <c r="C57" s="11"/>
      <c r="D57" s="11"/>
      <c r="E57" s="11"/>
      <c r="F57" s="11"/>
      <c r="G57" s="11"/>
      <c r="H57" s="3">
        <f>IF(OR(F57="",F57=0),"לא","כן")</f>
      </c>
      <c r="I57" s="3">
        <f>IF(ISNUMBER(SEARCH(",",D57)),"כן","לא")</f>
      </c>
      <c r="J57" s="3">
        <f>IF(OR(ISNUMBER(SEARCH(",",D57)),ISNUMBER(SEARCH("קבוצות",G57))),"כן","לא")</f>
      </c>
    </row>
    <row r="58" spans="2:10" x14ac:dyDescent="0.25">
      <c r="B58" s="11"/>
      <c r="C58" s="11"/>
      <c r="D58" s="11"/>
      <c r="E58" s="11"/>
      <c r="F58" s="11"/>
      <c r="G58" s="11"/>
      <c r="H58" s="3">
        <f>IF(OR(F58="",F58=0),"לא","כן")</f>
      </c>
      <c r="I58" s="3">
        <f>IF(ISNUMBER(SEARCH(",",D58)),"כן","לא")</f>
      </c>
      <c r="J58" s="3">
        <f>IF(OR(ISNUMBER(SEARCH(",",D58)),ISNUMBER(SEARCH("קבוצות",G58))),"כן","לא")</f>
      </c>
    </row>
    <row r="59" spans="2:10" x14ac:dyDescent="0.25">
      <c r="B59" s="11"/>
      <c r="C59" s="11"/>
      <c r="D59" s="11"/>
      <c r="E59" s="11"/>
      <c r="F59" s="11"/>
      <c r="G59" s="11"/>
      <c r="H59" s="3">
        <f>IF(OR(F59="",F59=0),"לא","כן")</f>
      </c>
      <c r="I59" s="3">
        <f>IF(ISNUMBER(SEARCH(",",D59)),"כן","לא")</f>
      </c>
      <c r="J59" s="3">
        <f>IF(OR(ISNUMBER(SEARCH(",",D59)),ISNUMBER(SEARCH("קבוצות",G59))),"כן","לא")</f>
      </c>
    </row>
    <row r="60" spans="2:10" x14ac:dyDescent="0.25">
      <c r="B60" s="11"/>
      <c r="C60" s="11"/>
      <c r="D60" s="11"/>
      <c r="E60" s="11"/>
      <c r="F60" s="11"/>
      <c r="G60" s="11"/>
      <c r="H60" s="3">
        <f>IF(OR(F60="",F60=0),"לא","כן")</f>
      </c>
      <c r="I60" s="3">
        <f>IF(ISNUMBER(SEARCH(",",D60)),"כן","לא")</f>
      </c>
      <c r="J60" s="3">
        <f>IF(OR(ISNUMBER(SEARCH(",",D60)),ISNUMBER(SEARCH("קבוצות",G60))),"כן","לא")</f>
      </c>
    </row>
    <row r="61" spans="2:10" x14ac:dyDescent="0.25">
      <c r="B61" s="11"/>
      <c r="C61" s="11"/>
      <c r="D61" s="11"/>
      <c r="E61" s="11"/>
      <c r="F61" s="11"/>
      <c r="G61" s="11"/>
      <c r="H61" s="3">
        <f>IF(OR(F61="",F61=0),"לא","כן")</f>
      </c>
      <c r="I61" s="3">
        <f>IF(ISNUMBER(SEARCH(",",D61)),"כן","לא")</f>
      </c>
      <c r="J61" s="3">
        <f>IF(OR(ISNUMBER(SEARCH(",",D61)),ISNUMBER(SEARCH("קבוצות",G61))),"כן","לא")</f>
      </c>
    </row>
    <row r="62" spans="2:10" x14ac:dyDescent="0.25">
      <c r="B62" s="11"/>
      <c r="C62" s="11"/>
      <c r="D62" s="11"/>
      <c r="E62" s="11"/>
      <c r="F62" s="11"/>
      <c r="G62" s="11"/>
      <c r="H62" s="3">
        <f>IF(OR(F62="",F62=0),"לא","כן")</f>
      </c>
      <c r="I62" s="3">
        <f>IF(ISNUMBER(SEARCH(",",D62)),"כן","לא")</f>
      </c>
      <c r="J62" s="3">
        <f>IF(OR(ISNUMBER(SEARCH(",",D62)),ISNUMBER(SEARCH("קבוצות",G62))),"כן","לא")</f>
      </c>
    </row>
    <row r="63" spans="2:10" x14ac:dyDescent="0.25">
      <c r="B63" s="11"/>
      <c r="C63" s="11"/>
      <c r="D63" s="11"/>
      <c r="E63" s="11"/>
      <c r="F63" s="11"/>
      <c r="G63" s="11"/>
      <c r="H63" s="3">
        <f>IF(OR(F63="",F63=0),"לא","כן")</f>
      </c>
      <c r="I63" s="3">
        <f>IF(ISNUMBER(SEARCH(",",D63)),"כן","לא")</f>
      </c>
      <c r="J63" s="3">
        <f>IF(OR(ISNUMBER(SEARCH(",",D63)),ISNUMBER(SEARCH("קבוצות",G63))),"כן","לא")</f>
      </c>
    </row>
    <row r="64" spans="2:10" x14ac:dyDescent="0.25">
      <c r="B64" s="11"/>
      <c r="C64" s="11"/>
      <c r="D64" s="11"/>
      <c r="E64" s="11"/>
      <c r="F64" s="11"/>
      <c r="G64" s="11"/>
      <c r="H64" s="3">
        <f>IF(OR(F64="",F64=0),"לא","כן")</f>
      </c>
      <c r="I64" s="3">
        <f>IF(ISNUMBER(SEARCH(",",D64)),"כן","לא")</f>
      </c>
      <c r="J64" s="3">
        <f>IF(OR(ISNUMBER(SEARCH(",",D64)),ISNUMBER(SEARCH("קבוצות",G64))),"כן","לא")</f>
      </c>
    </row>
    <row r="65" spans="2:10" x14ac:dyDescent="0.25">
      <c r="B65" s="11"/>
      <c r="C65" s="11"/>
      <c r="D65" s="11"/>
      <c r="E65" s="11"/>
      <c r="F65" s="11"/>
      <c r="G65" s="11"/>
      <c r="H65" s="3">
        <f>IF(OR(F65="",F65=0),"לא","כן")</f>
      </c>
      <c r="I65" s="3">
        <f>IF(ISNUMBER(SEARCH(",",D65)),"כן","לא")</f>
      </c>
      <c r="J65" s="3">
        <f>IF(OR(ISNUMBER(SEARCH(",",D65)),ISNUMBER(SEARCH("קבוצות",G65))),"כן","לא")</f>
      </c>
    </row>
    <row r="66" spans="2:10" x14ac:dyDescent="0.25">
      <c r="B66" s="11"/>
      <c r="C66" s="11"/>
      <c r="D66" s="11"/>
      <c r="E66" s="11"/>
      <c r="F66" s="11"/>
      <c r="G66" s="11"/>
      <c r="H66" s="3">
        <f>IF(OR(F66="",F66=0),"לא","כן")</f>
      </c>
      <c r="I66" s="3">
        <f>IF(ISNUMBER(SEARCH(",",D66)),"כן","לא")</f>
      </c>
      <c r="J66" s="3">
        <f>IF(OR(ISNUMBER(SEARCH(",",D66)),ISNUMBER(SEARCH("קבוצות",G66))),"כן","לא")</f>
      </c>
    </row>
    <row r="67" spans="2:10" x14ac:dyDescent="0.25">
      <c r="B67" s="11"/>
      <c r="C67" s="11"/>
      <c r="D67" s="11"/>
      <c r="E67" s="11"/>
      <c r="F67" s="11"/>
      <c r="G67" s="11"/>
      <c r="H67" s="3">
        <f>IF(OR(F67="",F67=0),"לא","כן")</f>
      </c>
      <c r="I67" s="3">
        <f>IF(ISNUMBER(SEARCH(",",D67)),"כן","לא")</f>
      </c>
      <c r="J67" s="3">
        <f>IF(OR(ISNUMBER(SEARCH(",",D67)),ISNUMBER(SEARCH("קבוצות",G67))),"כן","לא")</f>
      </c>
    </row>
    <row r="68" spans="2:10" x14ac:dyDescent="0.25">
      <c r="B68" s="11"/>
      <c r="C68" s="11"/>
      <c r="D68" s="11"/>
      <c r="E68" s="11"/>
      <c r="F68" s="11"/>
      <c r="G68" s="11"/>
      <c r="H68" s="3">
        <f>IF(OR(F68="",F68=0),"לא","כן")</f>
      </c>
      <c r="I68" s="3">
        <f>IF(ISNUMBER(SEARCH(",",D68)),"כן","לא")</f>
      </c>
      <c r="J68" s="3">
        <f>IF(OR(ISNUMBER(SEARCH(",",D68)),ISNUMBER(SEARCH("קבוצות",G68))),"כן","לא")</f>
      </c>
    </row>
    <row r="69" spans="2:10" x14ac:dyDescent="0.25">
      <c r="B69" s="11"/>
      <c r="C69" s="11"/>
      <c r="D69" s="11"/>
      <c r="E69" s="11"/>
      <c r="F69" s="11"/>
      <c r="G69" s="11"/>
      <c r="H69" s="3">
        <f>IF(OR(F69="",F69=0),"לא","כן")</f>
      </c>
      <c r="I69" s="3">
        <f>IF(ISNUMBER(SEARCH(",",D69)),"כן","לא")</f>
      </c>
      <c r="J69" s="3">
        <f>IF(OR(ISNUMBER(SEARCH(",",D69)),ISNUMBER(SEARCH("קבוצות",G69))),"כן","לא")</f>
      </c>
    </row>
    <row r="70" spans="2:10" x14ac:dyDescent="0.25">
      <c r="B70" s="11"/>
      <c r="C70" s="11"/>
      <c r="D70" s="11"/>
      <c r="E70" s="11"/>
      <c r="F70" s="11"/>
      <c r="G70" s="11"/>
      <c r="H70" s="3">
        <f>IF(OR(F70="",F70=0),"לא","כן")</f>
      </c>
      <c r="I70" s="3">
        <f>IF(ISNUMBER(SEARCH(",",D70)),"כן","לא")</f>
      </c>
      <c r="J70" s="3">
        <f>IF(OR(ISNUMBER(SEARCH(",",D70)),ISNUMBER(SEARCH("קבוצות",G70))),"כן","לא")</f>
      </c>
    </row>
    <row r="71" spans="2:10" x14ac:dyDescent="0.25">
      <c r="B71" s="11"/>
      <c r="C71" s="11"/>
      <c r="D71" s="11"/>
      <c r="E71" s="11"/>
      <c r="F71" s="11"/>
      <c r="G71" s="11"/>
      <c r="H71" s="3">
        <f>IF(OR(F71="",F71=0),"לא","כן")</f>
      </c>
      <c r="I71" s="3">
        <f>IF(ISNUMBER(SEARCH(",",D71)),"כן","לא")</f>
      </c>
      <c r="J71" s="3">
        <f>IF(OR(ISNUMBER(SEARCH(",",D71)),ISNUMBER(SEARCH("קבוצות",G71))),"כן","לא")</f>
      </c>
    </row>
    <row r="72" spans="2:10" x14ac:dyDescent="0.25">
      <c r="B72" s="11"/>
      <c r="C72" s="11"/>
      <c r="D72" s="11"/>
      <c r="E72" s="11"/>
      <c r="F72" s="11"/>
      <c r="G72" s="11"/>
      <c r="H72" s="3">
        <f>IF(OR(F72="",F72=0),"לא","כן")</f>
      </c>
      <c r="I72" s="3">
        <f>IF(ISNUMBER(SEARCH(",",D72)),"כן","לא")</f>
      </c>
      <c r="J72" s="3">
        <f>IF(OR(ISNUMBER(SEARCH(",",D72)),ISNUMBER(SEARCH("קבוצות",G72))),"כן","לא")</f>
      </c>
    </row>
    <row r="73" spans="2:10" x14ac:dyDescent="0.25">
      <c r="B73" s="11"/>
      <c r="C73" s="11"/>
      <c r="D73" s="11"/>
      <c r="E73" s="11"/>
      <c r="F73" s="11"/>
      <c r="G73" s="11"/>
      <c r="H73" s="3">
        <f>IF(OR(F73="",F73=0),"לא","כן")</f>
      </c>
      <c r="I73" s="3">
        <f>IF(ISNUMBER(SEARCH(",",D73)),"כן","לא")</f>
      </c>
      <c r="J73" s="3">
        <f>IF(OR(ISNUMBER(SEARCH(",",D73)),ISNUMBER(SEARCH("קבוצות",G73))),"כן","לא")</f>
      </c>
    </row>
    <row r="74" spans="2:10" x14ac:dyDescent="0.25">
      <c r="B74" s="11"/>
      <c r="C74" s="11"/>
      <c r="D74" s="11"/>
      <c r="E74" s="11"/>
      <c r="F74" s="11"/>
      <c r="G74" s="11"/>
      <c r="H74" s="3">
        <f>IF(OR(F74="",F74=0),"לא","כן")</f>
      </c>
      <c r="I74" s="3">
        <f>IF(ISNUMBER(SEARCH(",",D74)),"כן","לא")</f>
      </c>
      <c r="J74" s="3">
        <f>IF(OR(ISNUMBER(SEARCH(",",D74)),ISNUMBER(SEARCH("קבוצות",G74))),"כן","לא")</f>
      </c>
    </row>
    <row r="75" spans="2:10" x14ac:dyDescent="0.25">
      <c r="B75" s="11"/>
      <c r="C75" s="11"/>
      <c r="D75" s="11"/>
      <c r="E75" s="11"/>
      <c r="F75" s="11"/>
      <c r="G75" s="11"/>
      <c r="H75" s="3">
        <f>IF(OR(F75="",F75=0),"לא","כן")</f>
      </c>
      <c r="I75" s="3">
        <f>IF(ISNUMBER(SEARCH(",",D75)),"כן","לא")</f>
      </c>
      <c r="J75" s="3">
        <f>IF(OR(ISNUMBER(SEARCH(",",D75)),ISNUMBER(SEARCH("קבוצות",G75))),"כן","לא")</f>
      </c>
    </row>
    <row r="76" spans="2:10" x14ac:dyDescent="0.25">
      <c r="B76" s="11"/>
      <c r="C76" s="11"/>
      <c r="D76" s="11"/>
      <c r="E76" s="11"/>
      <c r="F76" s="11"/>
      <c r="G76" s="11"/>
      <c r="H76" s="3">
        <f>IF(OR(F76="",F76=0),"לא","כן")</f>
      </c>
      <c r="I76" s="3">
        <f>IF(ISNUMBER(SEARCH(",",D76)),"כן","לא")</f>
      </c>
      <c r="J76" s="3">
        <f>IF(OR(ISNUMBER(SEARCH(",",D76)),ISNUMBER(SEARCH("קבוצות",G76))),"כן","לא")</f>
      </c>
    </row>
    <row r="77" spans="2:10" x14ac:dyDescent="0.25">
      <c r="B77" s="11"/>
      <c r="C77" s="11"/>
      <c r="D77" s="11"/>
      <c r="E77" s="11"/>
      <c r="F77" s="11"/>
      <c r="G77" s="11"/>
      <c r="H77" s="3">
        <f>IF(OR(F77="",F77=0),"לא","כן")</f>
      </c>
      <c r="I77" s="3">
        <f>IF(ISNUMBER(SEARCH(",",D77)),"כן","לא")</f>
      </c>
      <c r="J77" s="3">
        <f>IF(OR(ISNUMBER(SEARCH(",",D77)),ISNUMBER(SEARCH("קבוצות",G77))),"כן","לא")</f>
      </c>
    </row>
    <row r="78" spans="2:10" x14ac:dyDescent="0.25">
      <c r="B78" s="11"/>
      <c r="C78" s="11"/>
      <c r="D78" s="11"/>
      <c r="E78" s="11"/>
      <c r="F78" s="11"/>
      <c r="G78" s="11"/>
      <c r="H78" s="3">
        <f>IF(OR(F78="",F78=0),"לא","כן")</f>
      </c>
      <c r="I78" s="3">
        <f>IF(ISNUMBER(SEARCH(",",D78)),"כן","לא")</f>
      </c>
      <c r="J78" s="3">
        <f>IF(OR(ISNUMBER(SEARCH(",",D78)),ISNUMBER(SEARCH("קבוצות",G78))),"כן","לא")</f>
      </c>
    </row>
    <row r="79" spans="2:10" x14ac:dyDescent="0.25">
      <c r="B79" s="11"/>
      <c r="C79" s="11"/>
      <c r="D79" s="11"/>
      <c r="E79" s="11"/>
      <c r="F79" s="11"/>
      <c r="G79" s="11"/>
      <c r="H79" s="3">
        <f>IF(OR(F79="",F79=0),"לא","כן")</f>
      </c>
      <c r="I79" s="3">
        <f>IF(ISNUMBER(SEARCH(",",D79)),"כן","לא")</f>
      </c>
      <c r="J79" s="3">
        <f>IF(OR(ISNUMBER(SEARCH(",",D79)),ISNUMBER(SEARCH("קבוצות",G79))),"כן","לא")</f>
      </c>
    </row>
    <row r="80" spans="2:10" x14ac:dyDescent="0.25">
      <c r="B80" s="11"/>
      <c r="C80" s="11"/>
      <c r="D80" s="11"/>
      <c r="E80" s="11"/>
      <c r="F80" s="11"/>
      <c r="G80" s="11"/>
      <c r="H80" s="3">
        <f>IF(OR(F80="",F80=0),"לא","כן")</f>
      </c>
      <c r="I80" s="3">
        <f>IF(ISNUMBER(SEARCH(",",D80)),"כן","לא")</f>
      </c>
      <c r="J80" s="3">
        <f>IF(OR(ISNUMBER(SEARCH(",",D80)),ISNUMBER(SEARCH("קבוצות",G80))),"כן","לא")</f>
      </c>
    </row>
    <row r="81" spans="2:10" x14ac:dyDescent="0.25">
      <c r="B81" s="11"/>
      <c r="C81" s="11"/>
      <c r="D81" s="11"/>
      <c r="E81" s="11"/>
      <c r="F81" s="11"/>
      <c r="G81" s="11"/>
      <c r="H81" s="3">
        <f>IF(OR(F81="",F81=0),"לא","כן")</f>
      </c>
      <c r="I81" s="3">
        <f>IF(ISNUMBER(SEARCH(",",D81)),"כן","לא")</f>
      </c>
      <c r="J81" s="3">
        <f>IF(OR(ISNUMBER(SEARCH(",",D81)),ISNUMBER(SEARCH("קבוצות",G81))),"כן","לא")</f>
      </c>
    </row>
    <row r="82" spans="2:10" x14ac:dyDescent="0.25">
      <c r="B82" s="11"/>
      <c r="C82" s="11"/>
      <c r="D82" s="11"/>
      <c r="E82" s="11"/>
      <c r="F82" s="11"/>
      <c r="G82" s="11"/>
      <c r="H82" s="3">
        <f>IF(OR(F82="",F82=0),"לא","כן")</f>
      </c>
      <c r="I82" s="3">
        <f>IF(ISNUMBER(SEARCH(",",D82)),"כן","לא")</f>
      </c>
      <c r="J82" s="3">
        <f>IF(OR(ISNUMBER(SEARCH(",",D82)),ISNUMBER(SEARCH("קבוצות",G82))),"כן","לא")</f>
      </c>
    </row>
    <row r="83" spans="2:10" x14ac:dyDescent="0.25">
      <c r="B83" s="11"/>
      <c r="C83" s="11"/>
      <c r="D83" s="11"/>
      <c r="E83" s="11"/>
      <c r="F83" s="11"/>
      <c r="G83" s="11"/>
      <c r="H83" s="3">
        <f>IF(OR(F83="",F83=0),"לא","כן")</f>
      </c>
      <c r="I83" s="3">
        <f>IF(ISNUMBER(SEARCH(",",D83)),"כן","לא")</f>
      </c>
      <c r="J83" s="3">
        <f>IF(OR(ISNUMBER(SEARCH(",",D83)),ISNUMBER(SEARCH("קבוצות",G83))),"כן","לא")</f>
      </c>
    </row>
    <row r="84" spans="2:10" x14ac:dyDescent="0.25">
      <c r="B84" s="11"/>
      <c r="C84" s="11"/>
      <c r="D84" s="11"/>
      <c r="E84" s="11"/>
      <c r="F84" s="11"/>
      <c r="G84" s="11"/>
      <c r="H84" s="3">
        <f>IF(OR(F84="",F84=0),"לא","כן")</f>
      </c>
      <c r="I84" s="3">
        <f>IF(ISNUMBER(SEARCH(",",D84)),"כן","לא")</f>
      </c>
      <c r="J84" s="3">
        <f>IF(OR(ISNUMBER(SEARCH(",",D84)),ISNUMBER(SEARCH("קבוצות",G84))),"כן","לא")</f>
      </c>
    </row>
    <row r="85" spans="2:10" x14ac:dyDescent="0.25">
      <c r="B85" s="11"/>
      <c r="C85" s="11"/>
      <c r="D85" s="11"/>
      <c r="E85" s="11"/>
      <c r="F85" s="11"/>
      <c r="G85" s="11"/>
      <c r="H85" s="3">
        <f>IF(OR(F85="",F85=0),"לא","כן")</f>
      </c>
      <c r="I85" s="3">
        <f>IF(ISNUMBER(SEARCH(",",D85)),"כן","לא")</f>
      </c>
      <c r="J85" s="3">
        <f>IF(OR(ISNUMBER(SEARCH(",",D85)),ISNUMBER(SEARCH("קבוצות",G85))),"כן","לא")</f>
      </c>
    </row>
    <row r="86" spans="2:10" x14ac:dyDescent="0.25">
      <c r="B86" s="11"/>
      <c r="C86" s="11"/>
      <c r="D86" s="11"/>
      <c r="E86" s="11"/>
      <c r="F86" s="11"/>
      <c r="G86" s="11"/>
      <c r="H86" s="3">
        <f>IF(OR(F86="",F86=0),"לא","כן")</f>
      </c>
      <c r="I86" s="3">
        <f>IF(ISNUMBER(SEARCH(",",D86)),"כן","לא")</f>
      </c>
      <c r="J86" s="3">
        <f>IF(OR(ISNUMBER(SEARCH(",",D86)),ISNUMBER(SEARCH("קבוצות",G86))),"כן","לא")</f>
      </c>
    </row>
    <row r="87" spans="2:10" x14ac:dyDescent="0.25">
      <c r="B87" s="11"/>
      <c r="C87" s="11"/>
      <c r="D87" s="11"/>
      <c r="E87" s="11"/>
      <c r="F87" s="11"/>
      <c r="G87" s="11"/>
      <c r="H87" s="3">
        <f>IF(OR(F87="",F87=0),"לא","כן")</f>
      </c>
      <c r="I87" s="3">
        <f>IF(ISNUMBER(SEARCH(",",D87)),"כן","לא")</f>
      </c>
      <c r="J87" s="3">
        <f>IF(OR(ISNUMBER(SEARCH(",",D87)),ISNUMBER(SEARCH("קבוצות",G87))),"כן","לא")</f>
      </c>
    </row>
    <row r="88" spans="2:10" x14ac:dyDescent="0.25">
      <c r="B88" s="11"/>
      <c r="C88" s="11"/>
      <c r="D88" s="11"/>
      <c r="E88" s="11"/>
      <c r="F88" s="11"/>
      <c r="G88" s="11"/>
      <c r="H88" s="3">
        <f>IF(OR(F88="",F88=0),"לא","כן")</f>
      </c>
      <c r="I88" s="3">
        <f>IF(ISNUMBER(SEARCH(",",D88)),"כן","לא")</f>
      </c>
      <c r="J88" s="3">
        <f>IF(OR(ISNUMBER(SEARCH(",",D88)),ISNUMBER(SEARCH("קבוצות",G88))),"כן","לא")</f>
      </c>
    </row>
    <row r="89" spans="2:10" x14ac:dyDescent="0.25">
      <c r="B89" s="11"/>
      <c r="C89" s="11"/>
      <c r="D89" s="11"/>
      <c r="E89" s="11"/>
      <c r="F89" s="11"/>
      <c r="G89" s="11"/>
      <c r="H89" s="3">
        <f>IF(OR(F89="",F89=0),"לא","כן")</f>
      </c>
      <c r="I89" s="3">
        <f>IF(ISNUMBER(SEARCH(",",D89)),"כן","לא")</f>
      </c>
      <c r="J89" s="3">
        <f>IF(OR(ISNUMBER(SEARCH(",",D89)),ISNUMBER(SEARCH("קבוצות",G89))),"כן","לא")</f>
      </c>
    </row>
    <row r="90" spans="2:10" x14ac:dyDescent="0.25">
      <c r="B90" s="11"/>
      <c r="C90" s="11"/>
      <c r="D90" s="11"/>
      <c r="E90" s="11"/>
      <c r="F90" s="11"/>
      <c r="G90" s="11"/>
      <c r="H90" s="3">
        <f>IF(OR(F90="",F90=0),"לא","כן")</f>
      </c>
      <c r="I90" s="3">
        <f>IF(ISNUMBER(SEARCH(",",D90)),"כן","לא")</f>
      </c>
      <c r="J90" s="3">
        <f>IF(OR(ISNUMBER(SEARCH(",",D90)),ISNUMBER(SEARCH("קבוצות",G90))),"כן","לא")</f>
      </c>
    </row>
    <row r="91" spans="2:10" x14ac:dyDescent="0.25">
      <c r="B91" s="11"/>
      <c r="C91" s="11"/>
      <c r="D91" s="11"/>
      <c r="E91" s="11"/>
      <c r="F91" s="11"/>
      <c r="G91" s="11"/>
      <c r="H91" s="3">
        <f>IF(OR(F91="",F91=0),"לא","כן")</f>
      </c>
      <c r="I91" s="3">
        <f>IF(ISNUMBER(SEARCH(",",D91)),"כן","לא")</f>
      </c>
      <c r="J91" s="3">
        <f>IF(OR(ISNUMBER(SEARCH(",",D91)),ISNUMBER(SEARCH("קבוצות",G91))),"כן","לא")</f>
      </c>
    </row>
    <row r="92" spans="2:10" x14ac:dyDescent="0.25">
      <c r="B92" s="11"/>
      <c r="C92" s="11"/>
      <c r="D92" s="11"/>
      <c r="E92" s="11"/>
      <c r="F92" s="11"/>
      <c r="G92" s="11"/>
      <c r="H92" s="3">
        <f>IF(OR(F92="",F92=0),"לא","כן")</f>
      </c>
      <c r="I92" s="3">
        <f>IF(ISNUMBER(SEARCH(",",D92)),"כן","לא")</f>
      </c>
      <c r="J92" s="3">
        <f>IF(OR(ISNUMBER(SEARCH(",",D92)),ISNUMBER(SEARCH("קבוצות",G92))),"כן","לא")</f>
      </c>
    </row>
    <row r="93" spans="2:10" x14ac:dyDescent="0.25">
      <c r="B93" s="11"/>
      <c r="C93" s="11"/>
      <c r="D93" s="11"/>
      <c r="E93" s="11"/>
      <c r="F93" s="11"/>
      <c r="G93" s="11"/>
      <c r="H93" s="3">
        <f>IF(OR(F93="",F93=0),"לא","כן")</f>
      </c>
      <c r="I93" s="3">
        <f>IF(ISNUMBER(SEARCH(",",D93)),"כן","לא")</f>
      </c>
      <c r="J93" s="3">
        <f>IF(OR(ISNUMBER(SEARCH(",",D93)),ISNUMBER(SEARCH("קבוצות",G93))),"כן","לא")</f>
      </c>
    </row>
    <row r="94" spans="2:10" x14ac:dyDescent="0.25">
      <c r="B94" s="11"/>
      <c r="C94" s="11"/>
      <c r="D94" s="11"/>
      <c r="E94" s="11"/>
      <c r="F94" s="11"/>
      <c r="G94" s="11"/>
      <c r="H94" s="3">
        <f>IF(OR(F94="",F94=0),"לא","כן")</f>
      </c>
      <c r="I94" s="3">
        <f>IF(ISNUMBER(SEARCH(",",D94)),"כן","לא")</f>
      </c>
      <c r="J94" s="3">
        <f>IF(OR(ISNUMBER(SEARCH(",",D94)),ISNUMBER(SEARCH("קבוצות",G94))),"כן","לא")</f>
      </c>
    </row>
    <row r="95" spans="2:10" x14ac:dyDescent="0.25">
      <c r="B95" s="11"/>
      <c r="C95" s="11"/>
      <c r="D95" s="11"/>
      <c r="E95" s="11"/>
      <c r="F95" s="11"/>
      <c r="G95" s="11"/>
      <c r="H95" s="3">
        <f>IF(OR(F95="",F95=0),"לא","כן")</f>
      </c>
      <c r="I95" s="3">
        <f>IF(ISNUMBER(SEARCH(",",D95)),"כן","לא")</f>
      </c>
      <c r="J95" s="3">
        <f>IF(OR(ISNUMBER(SEARCH(",",D95)),ISNUMBER(SEARCH("קבוצות",G95))),"כן","לא")</f>
      </c>
    </row>
    <row r="96" spans="2:10" x14ac:dyDescent="0.25">
      <c r="B96" s="11"/>
      <c r="C96" s="11"/>
      <c r="D96" s="11"/>
      <c r="E96" s="11"/>
      <c r="F96" s="11"/>
      <c r="G96" s="11"/>
      <c r="H96" s="3">
        <f>IF(OR(F96="",F96=0),"לא","כן")</f>
      </c>
      <c r="I96" s="3">
        <f>IF(ISNUMBER(SEARCH(",",D96)),"כן","לא")</f>
      </c>
      <c r="J96" s="3">
        <f>IF(OR(ISNUMBER(SEARCH(",",D96)),ISNUMBER(SEARCH("קבוצות",G96))),"כן","לא")</f>
      </c>
    </row>
    <row r="97" spans="2:10" x14ac:dyDescent="0.25">
      <c r="B97" s="11"/>
      <c r="C97" s="11"/>
      <c r="D97" s="11"/>
      <c r="E97" s="11"/>
      <c r="F97" s="11"/>
      <c r="G97" s="11"/>
      <c r="H97" s="3">
        <f>IF(OR(F97="",F97=0),"לא","כן")</f>
      </c>
      <c r="I97" s="3">
        <f>IF(ISNUMBER(SEARCH(",",D97)),"כן","לא")</f>
      </c>
      <c r="J97" s="3">
        <f>IF(OR(ISNUMBER(SEARCH(",",D97)),ISNUMBER(SEARCH("קבוצות",G97))),"כן","לא")</f>
      </c>
    </row>
    <row r="98" spans="2:10" x14ac:dyDescent="0.25">
      <c r="B98" s="11"/>
      <c r="C98" s="11"/>
      <c r="D98" s="11"/>
      <c r="E98" s="11"/>
      <c r="F98" s="11"/>
      <c r="G98" s="11"/>
      <c r="H98" s="3">
        <f>IF(OR(F98="",F98=0),"לא","כן")</f>
      </c>
      <c r="I98" s="3">
        <f>IF(ISNUMBER(SEARCH(",",D98)),"כן","לא")</f>
      </c>
      <c r="J98" s="3">
        <f>IF(OR(ISNUMBER(SEARCH(",",D98)),ISNUMBER(SEARCH("קבוצות",G98))),"כן","לא")</f>
      </c>
    </row>
    <row r="99" spans="2:10" x14ac:dyDescent="0.25">
      <c r="B99" s="11"/>
      <c r="C99" s="11"/>
      <c r="D99" s="11"/>
      <c r="E99" s="11"/>
      <c r="F99" s="11"/>
      <c r="G99" s="11"/>
      <c r="H99" s="3">
        <f>IF(OR(F99="",F99=0),"לא","כן")</f>
      </c>
      <c r="I99" s="3">
        <f>IF(ISNUMBER(SEARCH(",",D99)),"כן","לא")</f>
      </c>
      <c r="J99" s="3">
        <f>IF(OR(ISNUMBER(SEARCH(",",D99)),ISNUMBER(SEARCH("קבוצות",G99))),"כן","לא")</f>
      </c>
    </row>
    <row r="100" spans="2:10" x14ac:dyDescent="0.25">
      <c r="B100" s="11"/>
      <c r="C100" s="11"/>
      <c r="D100" s="11"/>
      <c r="E100" s="11"/>
      <c r="F100" s="11"/>
      <c r="G100" s="11"/>
      <c r="H100" s="3">
        <f>IF(OR(F100="",F100=0),"לא","כן")</f>
      </c>
      <c r="I100" s="3">
        <f>IF(ISNUMBER(SEARCH(",",D100)),"כן","לא")</f>
      </c>
      <c r="J100" s="3">
        <f>IF(OR(ISNUMBER(SEARCH(",",D100)),ISNUMBER(SEARCH("קבוצות",G100))),"כן","לא")</f>
      </c>
    </row>
    <row r="101" spans="2:10" x14ac:dyDescent="0.25">
      <c r="B101" s="11"/>
      <c r="C101" s="11"/>
      <c r="D101" s="11"/>
      <c r="E101" s="11"/>
      <c r="F101" s="11"/>
      <c r="G101" s="11"/>
      <c r="H101" s="3">
        <f>IF(OR(F101="",F101=0),"לא","כן")</f>
      </c>
      <c r="I101" s="3">
        <f>IF(ISNUMBER(SEARCH(",",D101)),"כן","לא")</f>
      </c>
      <c r="J101" s="3">
        <f>IF(OR(ISNUMBER(SEARCH(",",D101)),ISNUMBER(SEARCH("קבוצות",G101))),"כן","לא")</f>
      </c>
    </row>
    <row r="102" spans="2:10" x14ac:dyDescent="0.25">
      <c r="B102" s="11"/>
      <c r="C102" s="11"/>
      <c r="D102" s="11"/>
      <c r="E102" s="11"/>
      <c r="F102" s="11"/>
      <c r="G102" s="11"/>
      <c r="H102" s="3">
        <f>IF(OR(F102="",F102=0),"לא","כן")</f>
      </c>
      <c r="I102" s="3">
        <f>IF(ISNUMBER(SEARCH(",",D102)),"כן","לא")</f>
      </c>
      <c r="J102" s="3">
        <f>IF(OR(ISNUMBER(SEARCH(",",D102)),ISNUMBER(SEARCH("קבוצות",G102))),"כן","לא")</f>
      </c>
    </row>
    <row r="103" spans="2:10" x14ac:dyDescent="0.25">
      <c r="B103" s="11"/>
      <c r="C103" s="11"/>
      <c r="D103" s="11"/>
      <c r="E103" s="11"/>
      <c r="F103" s="11"/>
      <c r="G103" s="11"/>
      <c r="H103" s="3">
        <f>IF(OR(F103="",F103=0),"לא","כן")</f>
      </c>
      <c r="I103" s="3">
        <f>IF(ISNUMBER(SEARCH(",",D103)),"כן","לא")</f>
      </c>
      <c r="J103" s="3">
        <f>IF(OR(ISNUMBER(SEARCH(",",D103)),ISNUMBER(SEARCH("קבוצות",G103))),"כן","לא")</f>
      </c>
    </row>
    <row r="104" spans="2:10" x14ac:dyDescent="0.25">
      <c r="B104" s="11"/>
      <c r="C104" s="11"/>
      <c r="D104" s="11"/>
      <c r="E104" s="11"/>
      <c r="F104" s="11"/>
      <c r="G104" s="11"/>
      <c r="H104" s="3">
        <f>IF(OR(F104="",F104=0),"לא","כן")</f>
      </c>
      <c r="I104" s="3">
        <f>IF(ISNUMBER(SEARCH(",",D104)),"כן","לא")</f>
      </c>
      <c r="J104" s="3">
        <f>IF(OR(ISNUMBER(SEARCH(",",D104)),ISNUMBER(SEARCH("קבוצות",G104))),"כן","לא")</f>
      </c>
    </row>
    <row r="105" spans="2:10" x14ac:dyDescent="0.25">
      <c r="B105" s="11"/>
      <c r="C105" s="11"/>
      <c r="D105" s="11"/>
      <c r="E105" s="11"/>
      <c r="F105" s="11"/>
      <c r="G105" s="11"/>
      <c r="H105" s="3">
        <f>IF(OR(F105="",F105=0),"לא","כן")</f>
      </c>
      <c r="I105" s="3">
        <f>IF(ISNUMBER(SEARCH(",",D105)),"כן","לא")</f>
      </c>
      <c r="J105" s="3">
        <f>IF(OR(ISNUMBER(SEARCH(",",D105)),ISNUMBER(SEARCH("קבוצות",G105))),"כן","לא")</f>
      </c>
    </row>
    <row r="106" spans="2:10" x14ac:dyDescent="0.25">
      <c r="B106" s="11"/>
      <c r="C106" s="11"/>
      <c r="D106" s="11"/>
      <c r="E106" s="11"/>
      <c r="F106" s="11"/>
      <c r="G106" s="11"/>
      <c r="H106" s="3">
        <f>IF(OR(F106="",F106=0),"לא","כן")</f>
      </c>
      <c r="I106" s="3">
        <f>IF(ISNUMBER(SEARCH(",",D106)),"כן","לא")</f>
      </c>
      <c r="J106" s="3">
        <f>IF(OR(ISNUMBER(SEARCH(",",D106)),ISNUMBER(SEARCH("קבוצות",G106))),"כן","לא")</f>
      </c>
    </row>
    <row r="107" spans="2:10" x14ac:dyDescent="0.25">
      <c r="B107" s="11"/>
      <c r="C107" s="11"/>
      <c r="D107" s="11"/>
      <c r="E107" s="11"/>
      <c r="F107" s="11"/>
      <c r="G107" s="11"/>
      <c r="H107" s="3">
        <f>IF(OR(F107="",F107=0),"לא","כן")</f>
      </c>
      <c r="I107" s="3">
        <f>IF(ISNUMBER(SEARCH(",",D107)),"כן","לא")</f>
      </c>
      <c r="J107" s="3">
        <f>IF(OR(ISNUMBER(SEARCH(",",D107)),ISNUMBER(SEARCH("קבוצות",G107))),"כן","לא")</f>
      </c>
    </row>
    <row r="108" spans="2:10" x14ac:dyDescent="0.25">
      <c r="B108" s="11"/>
      <c r="C108" s="11"/>
      <c r="D108" s="11"/>
      <c r="E108" s="11"/>
      <c r="F108" s="11"/>
      <c r="G108" s="11"/>
      <c r="H108" s="3">
        <f>IF(OR(F108="",F108=0),"לא","כן")</f>
      </c>
      <c r="I108" s="3">
        <f>IF(ISNUMBER(SEARCH(",",D108)),"כן","לא")</f>
      </c>
      <c r="J108" s="3">
        <f>IF(OR(ISNUMBER(SEARCH(",",D108)),ISNUMBER(SEARCH("קבוצות",G108))),"כן","לא")</f>
      </c>
    </row>
    <row r="109" spans="2:10" x14ac:dyDescent="0.25">
      <c r="B109" s="11"/>
      <c r="C109" s="11"/>
      <c r="D109" s="11"/>
      <c r="E109" s="11"/>
      <c r="F109" s="11"/>
      <c r="G109" s="11"/>
      <c r="H109" s="3">
        <f>IF(OR(F109="",F109=0),"לא","כן")</f>
      </c>
      <c r="I109" s="3">
        <f>IF(ISNUMBER(SEARCH(",",D109)),"כן","לא")</f>
      </c>
      <c r="J109" s="3">
        <f>IF(OR(ISNUMBER(SEARCH(",",D109)),ISNUMBER(SEARCH("קבוצות",G109))),"כן","לא")</f>
      </c>
    </row>
    <row r="110" spans="2:10" x14ac:dyDescent="0.25">
      <c r="B110" s="11"/>
      <c r="C110" s="11"/>
      <c r="D110" s="11"/>
      <c r="E110" s="11"/>
      <c r="F110" s="11"/>
      <c r="G110" s="11"/>
      <c r="H110" s="3">
        <f>IF(OR(F110="",F110=0),"לא","כן")</f>
      </c>
      <c r="I110" s="3">
        <f>IF(ISNUMBER(SEARCH(",",D110)),"כן","לא")</f>
      </c>
      <c r="J110" s="3">
        <f>IF(OR(ISNUMBER(SEARCH(",",D110)),ISNUMBER(SEARCH("קבוצות",G110))),"כן","לא")</f>
      </c>
    </row>
    <row r="111" spans="2:10" x14ac:dyDescent="0.25">
      <c r="B111" s="11"/>
      <c r="C111" s="11"/>
      <c r="D111" s="11"/>
      <c r="E111" s="11"/>
      <c r="F111" s="11"/>
      <c r="G111" s="11"/>
      <c r="H111" s="3">
        <f>IF(OR(F111="",F111=0),"לא","כן")</f>
      </c>
      <c r="I111" s="3">
        <f>IF(ISNUMBER(SEARCH(",",D111)),"כן","לא")</f>
      </c>
      <c r="J111" s="3">
        <f>IF(OR(ISNUMBER(SEARCH(",",D111)),ISNUMBER(SEARCH("קבוצות",G111))),"כן","לא")</f>
      </c>
    </row>
    <row r="112" spans="2:10" x14ac:dyDescent="0.25">
      <c r="B112" s="11"/>
      <c r="C112" s="11"/>
      <c r="D112" s="11"/>
      <c r="E112" s="11"/>
      <c r="F112" s="11"/>
      <c r="G112" s="11"/>
      <c r="H112" s="3">
        <f>IF(OR(F112="",F112=0),"לא","כן")</f>
      </c>
      <c r="I112" s="3">
        <f>IF(ISNUMBER(SEARCH(",",D112)),"כן","לא")</f>
      </c>
      <c r="J112" s="3">
        <f>IF(OR(ISNUMBER(SEARCH(",",D112)),ISNUMBER(SEARCH("קבוצות",G112))),"כן","לא")</f>
      </c>
    </row>
    <row r="113" spans="2:10" x14ac:dyDescent="0.25">
      <c r="B113" s="11"/>
      <c r="C113" s="11"/>
      <c r="D113" s="11"/>
      <c r="E113" s="11"/>
      <c r="F113" s="11"/>
      <c r="G113" s="11"/>
      <c r="H113" s="3">
        <f>IF(OR(F113="",F113=0),"לא","כן")</f>
      </c>
      <c r="I113" s="3">
        <f>IF(ISNUMBER(SEARCH(",",D113)),"כן","לא")</f>
      </c>
      <c r="J113" s="3">
        <f>IF(OR(ISNUMBER(SEARCH(",",D113)),ISNUMBER(SEARCH("קבוצות",G113))),"כן","לא")</f>
      </c>
    </row>
    <row r="114" spans="2:10" x14ac:dyDescent="0.25">
      <c r="B114" s="11"/>
      <c r="C114" s="11"/>
      <c r="D114" s="11"/>
      <c r="E114" s="11"/>
      <c r="F114" s="11"/>
      <c r="G114" s="11"/>
      <c r="H114" s="3">
        <f>IF(OR(F114="",F114=0),"לא","כן")</f>
      </c>
      <c r="I114" s="3">
        <f>IF(ISNUMBER(SEARCH(",",D114)),"כן","לא")</f>
      </c>
      <c r="J114" s="3">
        <f>IF(OR(ISNUMBER(SEARCH(",",D114)),ISNUMBER(SEARCH("קבוצות",G114))),"כן","לא")</f>
      </c>
    </row>
    <row r="115" spans="2:10" x14ac:dyDescent="0.25">
      <c r="B115" s="11"/>
      <c r="C115" s="11"/>
      <c r="D115" s="11"/>
      <c r="E115" s="11"/>
      <c r="F115" s="11"/>
      <c r="G115" s="11"/>
      <c r="H115" s="3">
        <f>IF(OR(F115="",F115=0),"לא","כן")</f>
      </c>
      <c r="I115" s="3">
        <f>IF(ISNUMBER(SEARCH(",",D115)),"כן","לא")</f>
      </c>
      <c r="J115" s="3">
        <f>IF(OR(ISNUMBER(SEARCH(",",D115)),ISNUMBER(SEARCH("קבוצות",G115))),"כן","לא")</f>
      </c>
    </row>
    <row r="116" spans="2:10" x14ac:dyDescent="0.25">
      <c r="B116" s="11"/>
      <c r="C116" s="11"/>
      <c r="D116" s="11"/>
      <c r="E116" s="11"/>
      <c r="F116" s="11"/>
      <c r="G116" s="11"/>
      <c r="H116" s="3">
        <f>IF(OR(F116="",F116=0),"לא","כן")</f>
      </c>
      <c r="I116" s="3">
        <f>IF(ISNUMBER(SEARCH(",",D116)),"כן","לא")</f>
      </c>
      <c r="J116" s="3">
        <f>IF(OR(ISNUMBER(SEARCH(",",D116)),ISNUMBER(SEARCH("קבוצות",G116))),"כן","לא")</f>
      </c>
    </row>
    <row r="117" spans="2:10" x14ac:dyDescent="0.25">
      <c r="B117" s="11"/>
      <c r="C117" s="11"/>
      <c r="D117" s="11"/>
      <c r="E117" s="11"/>
      <c r="F117" s="11"/>
      <c r="G117" s="11"/>
      <c r="H117" s="3">
        <f>IF(OR(F117="",F117=0),"לא","כן")</f>
      </c>
      <c r="I117" s="3">
        <f>IF(ISNUMBER(SEARCH(",",D117)),"כן","לא")</f>
      </c>
      <c r="J117" s="3">
        <f>IF(OR(ISNUMBER(SEARCH(",",D117)),ISNUMBER(SEARCH("קבוצות",G117))),"כן","לא")</f>
      </c>
    </row>
    <row r="118" spans="2:10" x14ac:dyDescent="0.25">
      <c r="B118" s="11"/>
      <c r="C118" s="11"/>
      <c r="D118" s="11"/>
      <c r="E118" s="11"/>
      <c r="F118" s="11"/>
      <c r="G118" s="11"/>
      <c r="H118" s="3">
        <f>IF(OR(F118="",F118=0),"לא","כן")</f>
      </c>
      <c r="I118" s="3">
        <f>IF(ISNUMBER(SEARCH(",",D118)),"כן","לא")</f>
      </c>
      <c r="J118" s="3">
        <f>IF(OR(ISNUMBER(SEARCH(",",D118)),ISNUMBER(SEARCH("קבוצות",G118))),"כן","לא")</f>
      </c>
    </row>
    <row r="119" spans="2:10" x14ac:dyDescent="0.25">
      <c r="B119" s="11"/>
      <c r="C119" s="11"/>
      <c r="D119" s="11"/>
      <c r="E119" s="11"/>
      <c r="F119" s="11"/>
      <c r="G119" s="11"/>
      <c r="H119" s="3">
        <f>IF(OR(F119="",F119=0),"לא","כן")</f>
      </c>
      <c r="I119" s="3">
        <f>IF(ISNUMBER(SEARCH(",",D119)),"כן","לא")</f>
      </c>
      <c r="J119" s="3">
        <f>IF(OR(ISNUMBER(SEARCH(",",D119)),ISNUMBER(SEARCH("קבוצות",G119))),"כן","לא")</f>
      </c>
    </row>
    <row r="120" spans="2:10" x14ac:dyDescent="0.25">
      <c r="B120" s="11"/>
      <c r="C120" s="11"/>
      <c r="D120" s="11"/>
      <c r="E120" s="11"/>
      <c r="F120" s="11"/>
      <c r="G120" s="11"/>
      <c r="H120" s="3">
        <f>IF(OR(F120="",F120=0),"לא","כן")</f>
      </c>
      <c r="I120" s="3">
        <f>IF(ISNUMBER(SEARCH(",",D120)),"כן","לא")</f>
      </c>
      <c r="J120" s="3">
        <f>IF(OR(ISNUMBER(SEARCH(",",D120)),ISNUMBER(SEARCH("קבוצות",G120))),"כן","לא")</f>
      </c>
    </row>
    <row r="121" spans="2:10" x14ac:dyDescent="0.25">
      <c r="B121" s="11"/>
      <c r="C121" s="11"/>
      <c r="D121" s="11"/>
      <c r="E121" s="11"/>
      <c r="F121" s="11"/>
      <c r="G121" s="11"/>
      <c r="H121" s="3">
        <f>IF(OR(F121="",F121=0),"לא","כן")</f>
      </c>
      <c r="I121" s="3">
        <f>IF(ISNUMBER(SEARCH(",",D121)),"כן","לא")</f>
      </c>
      <c r="J121" s="3">
        <f>IF(OR(ISNUMBER(SEARCH(",",D121)),ISNUMBER(SEARCH("קבוצות",G121))),"כן","לא")</f>
      </c>
    </row>
    <row r="122" spans="2:10" x14ac:dyDescent="0.25">
      <c r="B122" s="11"/>
      <c r="C122" s="11"/>
      <c r="D122" s="11"/>
      <c r="E122" s="11"/>
      <c r="F122" s="11"/>
      <c r="G122" s="11"/>
      <c r="H122" s="3">
        <f>IF(OR(F122="",F122=0),"לא","כן")</f>
      </c>
      <c r="I122" s="3">
        <f>IF(ISNUMBER(SEARCH(",",D122)),"כן","לא")</f>
      </c>
      <c r="J122" s="3">
        <f>IF(OR(ISNUMBER(SEARCH(",",D122)),ISNUMBER(SEARCH("קבוצות",G122))),"כן","לא")</f>
      </c>
    </row>
    <row r="123" spans="2:10" x14ac:dyDescent="0.25">
      <c r="B123" s="11"/>
      <c r="C123" s="11"/>
      <c r="D123" s="11"/>
      <c r="E123" s="11"/>
      <c r="F123" s="11"/>
      <c r="G123" s="11"/>
      <c r="H123" s="3">
        <f>IF(OR(F123="",F123=0),"לא","כן")</f>
      </c>
      <c r="I123" s="3">
        <f>IF(ISNUMBER(SEARCH(",",D123)),"כן","לא")</f>
      </c>
      <c r="J123" s="3">
        <f>IF(OR(ISNUMBER(SEARCH(",",D123)),ISNUMBER(SEARCH("קבוצות",G123))),"כן","לא")</f>
      </c>
    </row>
    <row r="124" spans="2:10" x14ac:dyDescent="0.25">
      <c r="B124" s="11"/>
      <c r="C124" s="11"/>
      <c r="D124" s="11"/>
      <c r="E124" s="11"/>
      <c r="F124" s="11"/>
      <c r="G124" s="11"/>
      <c r="H124" s="3">
        <f>IF(OR(F124="",F124=0),"לא","כן")</f>
      </c>
      <c r="I124" s="3">
        <f>IF(ISNUMBER(SEARCH(",",D124)),"כן","לא")</f>
      </c>
      <c r="J124" s="3">
        <f>IF(OR(ISNUMBER(SEARCH(",",D124)),ISNUMBER(SEARCH("קבוצות",G124))),"כן","לא")</f>
      </c>
    </row>
    <row r="125" spans="2:10" x14ac:dyDescent="0.25">
      <c r="B125" s="11"/>
      <c r="C125" s="11"/>
      <c r="D125" s="11"/>
      <c r="E125" s="11"/>
      <c r="F125" s="11"/>
      <c r="G125" s="11"/>
      <c r="H125" s="3">
        <f>IF(OR(F125="",F125=0),"לא","כן")</f>
      </c>
      <c r="I125" s="3">
        <f>IF(ISNUMBER(SEARCH(",",D125)),"כן","לא")</f>
      </c>
      <c r="J125" s="3">
        <f>IF(OR(ISNUMBER(SEARCH(",",D125)),ISNUMBER(SEARCH("קבוצות",G125))),"כן","לא")</f>
      </c>
    </row>
    <row r="126" spans="2:10" x14ac:dyDescent="0.25">
      <c r="B126" s="11"/>
      <c r="C126" s="11"/>
      <c r="D126" s="11"/>
      <c r="E126" s="11"/>
      <c r="F126" s="11"/>
      <c r="G126" s="11"/>
      <c r="H126" s="3">
        <f>IF(OR(F126="",F126=0),"לא","כן")</f>
      </c>
      <c r="I126" s="3">
        <f>IF(ISNUMBER(SEARCH(",",D126)),"כן","לא")</f>
      </c>
      <c r="J126" s="3">
        <f>IF(OR(ISNUMBER(SEARCH(",",D126)),ISNUMBER(SEARCH("קבוצות",G126))),"כן","לא")</f>
      </c>
    </row>
    <row r="127" spans="2:10" x14ac:dyDescent="0.25">
      <c r="B127" s="11"/>
      <c r="C127" s="11"/>
      <c r="D127" s="11"/>
      <c r="E127" s="11"/>
      <c r="F127" s="11"/>
      <c r="G127" s="11"/>
      <c r="H127" s="3">
        <f>IF(OR(F127="",F127=0),"לא","כן")</f>
      </c>
      <c r="I127" s="3">
        <f>IF(ISNUMBER(SEARCH(",",D127)),"כן","לא")</f>
      </c>
      <c r="J127" s="3">
        <f>IF(OR(ISNUMBER(SEARCH(",",D127)),ISNUMBER(SEARCH("קבוצות",G127))),"כן","לא")</f>
      </c>
    </row>
    <row r="128" spans="2:10" x14ac:dyDescent="0.25">
      <c r="B128" s="11"/>
      <c r="C128" s="11"/>
      <c r="D128" s="11"/>
      <c r="E128" s="11"/>
      <c r="F128" s="11"/>
      <c r="G128" s="11"/>
      <c r="H128" s="3">
        <f>IF(OR(F128="",F128=0),"לא","כן")</f>
      </c>
      <c r="I128" s="3">
        <f>IF(ISNUMBER(SEARCH(",",D128)),"כן","לא")</f>
      </c>
      <c r="J128" s="3">
        <f>IF(OR(ISNUMBER(SEARCH(",",D128)),ISNUMBER(SEARCH("קבוצות",G128))),"כן","לא")</f>
      </c>
    </row>
    <row r="129" spans="2:10" x14ac:dyDescent="0.25">
      <c r="B129" s="11"/>
      <c r="C129" s="11"/>
      <c r="D129" s="11"/>
      <c r="E129" s="11"/>
      <c r="F129" s="11"/>
      <c r="G129" s="11"/>
      <c r="H129" s="3">
        <f>IF(OR(F129="",F129=0),"לא","כן")</f>
      </c>
      <c r="I129" s="3">
        <f>IF(ISNUMBER(SEARCH(",",D129)),"כן","לא")</f>
      </c>
      <c r="J129" s="3">
        <f>IF(OR(ISNUMBER(SEARCH(",",D129)),ISNUMBER(SEARCH("קבוצות",G129))),"כן","לא")</f>
      </c>
    </row>
    <row r="130" spans="2:10" x14ac:dyDescent="0.25">
      <c r="B130" s="11"/>
      <c r="C130" s="11"/>
      <c r="D130" s="11"/>
      <c r="E130" s="11"/>
      <c r="F130" s="11"/>
      <c r="G130" s="11"/>
      <c r="H130" s="3">
        <f>IF(OR(F130="",F130=0),"לא","כן")</f>
      </c>
      <c r="I130" s="3">
        <f>IF(ISNUMBER(SEARCH(",",D130)),"כן","לא")</f>
      </c>
      <c r="J130" s="3">
        <f>IF(OR(ISNUMBER(SEARCH(",",D130)),ISNUMBER(SEARCH("קבוצות",G130))),"כן","לא")</f>
      </c>
    </row>
    <row r="131" spans="2:10" x14ac:dyDescent="0.25">
      <c r="B131" s="11"/>
      <c r="C131" s="11"/>
      <c r="D131" s="11"/>
      <c r="E131" s="11"/>
      <c r="F131" s="11"/>
      <c r="G131" s="11"/>
      <c r="H131" s="3">
        <f>IF(OR(F131="",F131=0),"לא","כן")</f>
      </c>
      <c r="I131" s="3">
        <f>IF(ISNUMBER(SEARCH(",",D131)),"כן","לא")</f>
      </c>
      <c r="J131" s="3">
        <f>IF(OR(ISNUMBER(SEARCH(",",D131)),ISNUMBER(SEARCH("קבוצות",G131))),"כן","לא")</f>
      </c>
    </row>
    <row r="132" spans="2:10" x14ac:dyDescent="0.25">
      <c r="B132" s="11"/>
      <c r="C132" s="11"/>
      <c r="D132" s="11"/>
      <c r="E132" s="11"/>
      <c r="F132" s="11"/>
      <c r="G132" s="11"/>
      <c r="H132" s="3">
        <f>IF(OR(F132="",F132=0),"לא","כן")</f>
      </c>
      <c r="I132" s="3">
        <f>IF(ISNUMBER(SEARCH(",",D132)),"כן","לא")</f>
      </c>
      <c r="J132" s="3">
        <f>IF(OR(ISNUMBER(SEARCH(",",D132)),ISNUMBER(SEARCH("קבוצות",G132))),"כן","לא")</f>
      </c>
    </row>
    <row r="133" spans="2:10" x14ac:dyDescent="0.25">
      <c r="B133" s="11"/>
      <c r="C133" s="11"/>
      <c r="D133" s="11"/>
      <c r="E133" s="11"/>
      <c r="F133" s="11"/>
      <c r="G133" s="11"/>
      <c r="H133" s="3">
        <f>IF(OR(F133="",F133=0),"לא","כן")</f>
      </c>
      <c r="I133" s="3">
        <f>IF(ISNUMBER(SEARCH(",",D133)),"כן","לא")</f>
      </c>
      <c r="J133" s="3">
        <f>IF(OR(ISNUMBER(SEARCH(",",D133)),ISNUMBER(SEARCH("קבוצות",G133))),"כן","לא")</f>
      </c>
    </row>
    <row r="134" spans="2:10" x14ac:dyDescent="0.25">
      <c r="B134" s="11"/>
      <c r="C134" s="11"/>
      <c r="D134" s="11"/>
      <c r="E134" s="11"/>
      <c r="F134" s="11"/>
      <c r="G134" s="11"/>
      <c r="H134" s="3">
        <f>IF(OR(F134="",F134=0),"לא","כן")</f>
      </c>
      <c r="I134" s="3">
        <f>IF(ISNUMBER(SEARCH(",",D134)),"כן","לא")</f>
      </c>
      <c r="J134" s="3">
        <f>IF(OR(ISNUMBER(SEARCH(",",D134)),ISNUMBER(SEARCH("קבוצות",G134))),"כן","לא")</f>
      </c>
    </row>
    <row r="135" spans="2:10" x14ac:dyDescent="0.25">
      <c r="B135" s="11"/>
      <c r="C135" s="11"/>
      <c r="D135" s="11"/>
      <c r="E135" s="11"/>
      <c r="F135" s="11"/>
      <c r="G135" s="11"/>
      <c r="H135" s="3">
        <f>IF(OR(F135="",F135=0),"לא","כן")</f>
      </c>
      <c r="I135" s="3">
        <f>IF(ISNUMBER(SEARCH(",",D135)),"כן","לא")</f>
      </c>
      <c r="J135" s="3">
        <f>IF(OR(ISNUMBER(SEARCH(",",D135)),ISNUMBER(SEARCH("קבוצות",G135))),"כן","לא")</f>
      </c>
    </row>
    <row r="136" spans="2:10" x14ac:dyDescent="0.25">
      <c r="B136" s="11"/>
      <c r="C136" s="11"/>
      <c r="D136" s="11"/>
      <c r="E136" s="11"/>
      <c r="F136" s="11"/>
      <c r="G136" s="11"/>
      <c r="H136" s="3">
        <f>IF(OR(F136="",F136=0),"לא","כן")</f>
      </c>
      <c r="I136" s="3">
        <f>IF(ISNUMBER(SEARCH(",",D136)),"כן","לא")</f>
      </c>
      <c r="J136" s="3">
        <f>IF(OR(ISNUMBER(SEARCH(",",D136)),ISNUMBER(SEARCH("קבוצות",G136))),"כן","לא")</f>
      </c>
    </row>
    <row r="137" spans="2:10" x14ac:dyDescent="0.25">
      <c r="B137" s="11"/>
      <c r="C137" s="11"/>
      <c r="D137" s="11"/>
      <c r="E137" s="11"/>
      <c r="F137" s="11"/>
      <c r="G137" s="11"/>
      <c r="H137" s="3">
        <f>IF(OR(F137="",F137=0),"לא","כן")</f>
      </c>
      <c r="I137" s="3">
        <f>IF(ISNUMBER(SEARCH(",",D137)),"כן","לא")</f>
      </c>
      <c r="J137" s="3">
        <f>IF(OR(ISNUMBER(SEARCH(",",D137)),ISNUMBER(SEARCH("קבוצות",G137))),"כן","לא")</f>
      </c>
    </row>
    <row r="138" spans="2:10" x14ac:dyDescent="0.25">
      <c r="B138" s="11"/>
      <c r="C138" s="11"/>
      <c r="D138" s="11"/>
      <c r="E138" s="11"/>
      <c r="F138" s="11"/>
      <c r="G138" s="11"/>
      <c r="H138" s="3">
        <f>IF(OR(F138="",F138=0),"לא","כן")</f>
      </c>
      <c r="I138" s="3">
        <f>IF(ISNUMBER(SEARCH(",",D138)),"כן","לא")</f>
      </c>
      <c r="J138" s="3">
        <f>IF(OR(ISNUMBER(SEARCH(",",D138)),ISNUMBER(SEARCH("קבוצות",G138))),"כן","לא")</f>
      </c>
    </row>
    <row r="139" spans="2:10" x14ac:dyDescent="0.25">
      <c r="B139" s="11"/>
      <c r="C139" s="11"/>
      <c r="D139" s="11"/>
      <c r="E139" s="11"/>
      <c r="F139" s="11"/>
      <c r="G139" s="11"/>
      <c r="H139" s="3">
        <f>IF(OR(F139="",F139=0),"לא","כן")</f>
      </c>
      <c r="I139" s="3">
        <f>IF(ISNUMBER(SEARCH(",",D139)),"כן","לא")</f>
      </c>
      <c r="J139" s="3">
        <f>IF(OR(ISNUMBER(SEARCH(",",D139)),ISNUMBER(SEARCH("קבוצות",G139))),"כן","לא")</f>
      </c>
    </row>
    <row r="140" spans="2:10" x14ac:dyDescent="0.25">
      <c r="B140" s="11"/>
      <c r="C140" s="11"/>
      <c r="D140" s="11"/>
      <c r="E140" s="11"/>
      <c r="F140" s="11"/>
      <c r="G140" s="11"/>
      <c r="H140" s="3">
        <f>IF(OR(F140="",F140=0),"לא","כן")</f>
      </c>
      <c r="I140" s="3">
        <f>IF(ISNUMBER(SEARCH(",",D140)),"כן","לא")</f>
      </c>
      <c r="J140" s="3">
        <f>IF(OR(ISNUMBER(SEARCH(",",D140)),ISNUMBER(SEARCH("קבוצות",G140))),"כן","לא")</f>
      </c>
    </row>
    <row r="141" spans="2:10" x14ac:dyDescent="0.25">
      <c r="B141" s="11"/>
      <c r="C141" s="11"/>
      <c r="D141" s="11"/>
      <c r="E141" s="11"/>
      <c r="F141" s="11"/>
      <c r="G141" s="11"/>
      <c r="H141" s="3">
        <f>IF(OR(F141="",F141=0),"לא","כן")</f>
      </c>
      <c r="I141" s="3">
        <f>IF(ISNUMBER(SEARCH(",",D141)),"כן","לא")</f>
      </c>
      <c r="J141" s="3">
        <f>IF(OR(ISNUMBER(SEARCH(",",D141)),ISNUMBER(SEARCH("קבוצות",G141))),"כן","לא")</f>
      </c>
    </row>
    <row r="142" spans="2:10" x14ac:dyDescent="0.25">
      <c r="B142" s="11"/>
      <c r="C142" s="11"/>
      <c r="D142" s="11"/>
      <c r="E142" s="11"/>
      <c r="F142" s="11"/>
      <c r="G142" s="11"/>
      <c r="H142" s="3">
        <f>IF(OR(F142="",F142=0),"לא","כן")</f>
      </c>
      <c r="I142" s="3">
        <f>IF(ISNUMBER(SEARCH(",",D142)),"כן","לא")</f>
      </c>
      <c r="J142" s="3">
        <f>IF(OR(ISNUMBER(SEARCH(",",D142)),ISNUMBER(SEARCH("קבוצות",G142))),"כן","לא")</f>
      </c>
    </row>
    <row r="143" spans="2:10" x14ac:dyDescent="0.25">
      <c r="B143" s="11"/>
      <c r="C143" s="11"/>
      <c r="D143" s="11"/>
      <c r="E143" s="11"/>
      <c r="F143" s="11"/>
      <c r="G143" s="11"/>
      <c r="H143" s="3">
        <f>IF(OR(F143="",F143=0),"לא","כן")</f>
      </c>
      <c r="I143" s="3">
        <f>IF(ISNUMBER(SEARCH(",",D143)),"כן","לא")</f>
      </c>
      <c r="J143" s="3">
        <f>IF(OR(ISNUMBER(SEARCH(",",D143)),ISNUMBER(SEARCH("קבוצות",G143))),"כן","לא")</f>
      </c>
    </row>
    <row r="144" spans="2:10" x14ac:dyDescent="0.25">
      <c r="B144" s="11"/>
      <c r="C144" s="11"/>
      <c r="D144" s="11"/>
      <c r="E144" s="11"/>
      <c r="F144" s="11"/>
      <c r="G144" s="11"/>
      <c r="H144" s="3">
        <f>IF(OR(F144="",F144=0),"לא","כן")</f>
      </c>
      <c r="I144" s="3">
        <f>IF(ISNUMBER(SEARCH(",",D144)),"כן","לא")</f>
      </c>
      <c r="J144" s="3">
        <f>IF(OR(ISNUMBER(SEARCH(",",D144)),ISNUMBER(SEARCH("קבוצות",G144))),"כן","לא")</f>
      </c>
    </row>
    <row r="145" spans="2:10" x14ac:dyDescent="0.25">
      <c r="B145" s="11"/>
      <c r="C145" s="11"/>
      <c r="D145" s="11"/>
      <c r="E145" s="11"/>
      <c r="F145" s="11"/>
      <c r="G145" s="11"/>
      <c r="H145" s="3">
        <f>IF(OR(F145="",F145=0),"לא","כן")</f>
      </c>
      <c r="I145" s="3">
        <f>IF(ISNUMBER(SEARCH(",",D145)),"כן","לא")</f>
      </c>
      <c r="J145" s="3">
        <f>IF(OR(ISNUMBER(SEARCH(",",D145)),ISNUMBER(SEARCH("קבוצות",G145))),"כן","לא")</f>
      </c>
    </row>
    <row r="146" spans="2:10" x14ac:dyDescent="0.25">
      <c r="B146" s="11"/>
      <c r="C146" s="11"/>
      <c r="D146" s="11"/>
      <c r="E146" s="11"/>
      <c r="F146" s="11"/>
      <c r="G146" s="11"/>
      <c r="H146" s="3">
        <f>IF(OR(F146="",F146=0),"לא","כן")</f>
      </c>
      <c r="I146" s="3">
        <f>IF(ISNUMBER(SEARCH(",",D146)),"כן","לא")</f>
      </c>
      <c r="J146" s="3">
        <f>IF(OR(ISNUMBER(SEARCH(",",D146)),ISNUMBER(SEARCH("קבוצות",G146))),"כן","לא")</f>
      </c>
    </row>
    <row r="147" spans="2:10" x14ac:dyDescent="0.25">
      <c r="B147" s="11"/>
      <c r="C147" s="11"/>
      <c r="D147" s="11"/>
      <c r="E147" s="11"/>
      <c r="F147" s="11"/>
      <c r="G147" s="11"/>
      <c r="H147" s="3">
        <f>IF(OR(F147="",F147=0),"לא","כן")</f>
      </c>
      <c r="I147" s="3">
        <f>IF(ISNUMBER(SEARCH(",",D147)),"כן","לא")</f>
      </c>
      <c r="J147" s="3">
        <f>IF(OR(ISNUMBER(SEARCH(",",D147)),ISNUMBER(SEARCH("קבוצות",G147))),"כן","לא")</f>
      </c>
    </row>
    <row r="148" spans="2:10" x14ac:dyDescent="0.25">
      <c r="B148" s="11"/>
      <c r="C148" s="11"/>
      <c r="D148" s="11"/>
      <c r="E148" s="11"/>
      <c r="F148" s="11"/>
      <c r="G148" s="11"/>
      <c r="H148" s="3">
        <f>IF(OR(F148="",F148=0),"לא","כן")</f>
      </c>
      <c r="I148" s="3">
        <f>IF(ISNUMBER(SEARCH(",",D148)),"כן","לא")</f>
      </c>
      <c r="J148" s="3">
        <f>IF(OR(ISNUMBER(SEARCH(",",D148)),ISNUMBER(SEARCH("קבוצות",G148))),"כן","לא")</f>
      </c>
    </row>
    <row r="149" spans="2:10" x14ac:dyDescent="0.25">
      <c r="B149" s="11"/>
      <c r="C149" s="11"/>
      <c r="D149" s="11"/>
      <c r="E149" s="11"/>
      <c r="F149" s="11"/>
      <c r="G149" s="11"/>
      <c r="H149" s="3">
        <f>IF(OR(F149="",F149=0),"לא","כן")</f>
      </c>
      <c r="I149" s="3">
        <f>IF(ISNUMBER(SEARCH(",",D149)),"כן","לא")</f>
      </c>
      <c r="J149" s="3">
        <f>IF(OR(ISNUMBER(SEARCH(",",D149)),ISNUMBER(SEARCH("קבוצות",G149))),"כן","לא")</f>
      </c>
    </row>
    <row r="150" spans="2:10" x14ac:dyDescent="0.25">
      <c r="B150" s="11"/>
      <c r="C150" s="11"/>
      <c r="D150" s="11"/>
      <c r="E150" s="11"/>
      <c r="F150" s="11"/>
      <c r="G150" s="11"/>
      <c r="H150" s="3">
        <f>IF(OR(F150="",F150=0),"לא","כן")</f>
      </c>
      <c r="I150" s="3">
        <f>IF(ISNUMBER(SEARCH(",",D150)),"כן","לא")</f>
      </c>
      <c r="J150" s="3">
        <f>IF(OR(ISNUMBER(SEARCH(",",D150)),ISNUMBER(SEARCH("קבוצות",G150))),"כן","לא")</f>
      </c>
    </row>
    <row r="151" spans="2:10" x14ac:dyDescent="0.25">
      <c r="B151" s="11"/>
      <c r="C151" s="11"/>
      <c r="D151" s="11"/>
      <c r="E151" s="11"/>
      <c r="F151" s="11"/>
      <c r="G151" s="11"/>
      <c r="H151" s="3">
        <f>IF(OR(F151="",F151=0),"לא","כן")</f>
      </c>
      <c r="I151" s="3">
        <f>IF(ISNUMBER(SEARCH(",",D151)),"כן","לא")</f>
      </c>
      <c r="J151" s="3">
        <f>IF(OR(ISNUMBER(SEARCH(",",D151)),ISNUMBER(SEARCH("קבוצות",G151))),"כן","לא")</f>
      </c>
    </row>
    <row r="152" spans="2:10" x14ac:dyDescent="0.25">
      <c r="B152" s="11"/>
      <c r="C152" s="11"/>
      <c r="D152" s="11"/>
      <c r="E152" s="11"/>
      <c r="F152" s="11"/>
      <c r="G152" s="11"/>
      <c r="H152" s="3">
        <f>IF(OR(F152="",F152=0),"לא","כן")</f>
      </c>
      <c r="I152" s="3">
        <f>IF(ISNUMBER(SEARCH(",",D152)),"כן","לא")</f>
      </c>
      <c r="J152" s="3">
        <f>IF(OR(ISNUMBER(SEARCH(",",D152)),ISNUMBER(SEARCH("קבוצות",G152))),"כן","לא")</f>
      </c>
    </row>
    <row r="153" spans="2:10" x14ac:dyDescent="0.25">
      <c r="B153" s="11"/>
      <c r="C153" s="11"/>
      <c r="D153" s="11"/>
      <c r="E153" s="11"/>
      <c r="F153" s="11"/>
      <c r="G153" s="11"/>
      <c r="H153" s="3">
        <f>IF(OR(F153="",F153=0),"לא","כן")</f>
      </c>
      <c r="I153" s="3">
        <f>IF(ISNUMBER(SEARCH(",",D153)),"כן","לא")</f>
      </c>
      <c r="J153" s="3">
        <f>IF(OR(ISNUMBER(SEARCH(",",D153)),ISNUMBER(SEARCH("קבוצות",G153))),"כן","לא")</f>
      </c>
    </row>
    <row r="154" spans="2:10" x14ac:dyDescent="0.25">
      <c r="B154" s="11"/>
      <c r="C154" s="11"/>
      <c r="D154" s="11"/>
      <c r="E154" s="11"/>
      <c r="F154" s="11"/>
      <c r="G154" s="11"/>
      <c r="H154" s="3">
        <f>IF(OR(F154="",F154=0),"לא","כן")</f>
      </c>
      <c r="I154" s="3">
        <f>IF(ISNUMBER(SEARCH(",",D154)),"כן","לא")</f>
      </c>
      <c r="J154" s="3">
        <f>IF(OR(ISNUMBER(SEARCH(",",D154)),ISNUMBER(SEARCH("קבוצות",G154))),"כן","לא")</f>
      </c>
    </row>
    <row r="155" spans="2:10" x14ac:dyDescent="0.25">
      <c r="B155" s="11"/>
      <c r="C155" s="11"/>
      <c r="D155" s="11"/>
      <c r="E155" s="11"/>
      <c r="F155" s="11"/>
      <c r="G155" s="11"/>
      <c r="H155" s="3">
        <f>IF(OR(F155="",F155=0),"לא","כן")</f>
      </c>
      <c r="I155" s="3">
        <f>IF(ISNUMBER(SEARCH(",",D155)),"כן","לא")</f>
      </c>
      <c r="J155" s="3">
        <f>IF(OR(ISNUMBER(SEARCH(",",D155)),ISNUMBER(SEARCH("קבוצות",G155))),"כן","לא")</f>
      </c>
    </row>
    <row r="156" spans="2:10" x14ac:dyDescent="0.25">
      <c r="B156" s="11"/>
      <c r="C156" s="11"/>
      <c r="D156" s="11"/>
      <c r="E156" s="11"/>
      <c r="F156" s="11"/>
      <c r="G156" s="11"/>
      <c r="H156" s="3">
        <f>IF(OR(F156="",F156=0),"לא","כן")</f>
      </c>
      <c r="I156" s="3">
        <f>IF(ISNUMBER(SEARCH(",",D156)),"כן","לא")</f>
      </c>
      <c r="J156" s="3">
        <f>IF(OR(ISNUMBER(SEARCH(",",D156)),ISNUMBER(SEARCH("קבוצות",G156))),"כן","לא")</f>
      </c>
    </row>
    <row r="157" spans="2:10" x14ac:dyDescent="0.25">
      <c r="B157" s="11"/>
      <c r="C157" s="11"/>
      <c r="D157" s="11"/>
      <c r="E157" s="11"/>
      <c r="F157" s="11"/>
      <c r="G157" s="11"/>
      <c r="H157" s="3">
        <f>IF(OR(F157="",F157=0),"לא","כן")</f>
      </c>
      <c r="I157" s="3">
        <f>IF(ISNUMBER(SEARCH(",",D157)),"כן","לא")</f>
      </c>
      <c r="J157" s="3">
        <f>IF(OR(ISNUMBER(SEARCH(",",D157)),ISNUMBER(SEARCH("קבוצות",G157))),"כן","לא")</f>
      </c>
    </row>
    <row r="158" spans="2:10" x14ac:dyDescent="0.25">
      <c r="B158" s="11"/>
      <c r="C158" s="11"/>
      <c r="D158" s="11"/>
      <c r="E158" s="11"/>
      <c r="F158" s="11"/>
      <c r="G158" s="11"/>
      <c r="H158" s="3">
        <f>IF(OR(F158="",F158=0),"לא","כן")</f>
      </c>
      <c r="I158" s="3">
        <f>IF(ISNUMBER(SEARCH(",",D158)),"כן","לא")</f>
      </c>
      <c r="J158" s="3">
        <f>IF(OR(ISNUMBER(SEARCH(",",D158)),ISNUMBER(SEARCH("קבוצות",G158))),"כן","לא")</f>
      </c>
    </row>
    <row r="159" spans="2:10" x14ac:dyDescent="0.25">
      <c r="B159" s="11"/>
      <c r="C159" s="11"/>
      <c r="D159" s="11"/>
      <c r="E159" s="11"/>
      <c r="F159" s="11"/>
      <c r="G159" s="11"/>
      <c r="H159" s="3">
        <f>IF(OR(F159="",F159=0),"לא","כן")</f>
      </c>
      <c r="I159" s="3">
        <f>IF(ISNUMBER(SEARCH(",",D159)),"כן","לא")</f>
      </c>
      <c r="J159" s="3">
        <f>IF(OR(ISNUMBER(SEARCH(",",D159)),ISNUMBER(SEARCH("קבוצות",G159))),"כן","לא")</f>
      </c>
    </row>
    <row r="160" spans="2:10" x14ac:dyDescent="0.25">
      <c r="B160" s="11"/>
      <c r="C160" s="11"/>
      <c r="D160" s="11"/>
      <c r="E160" s="11"/>
      <c r="F160" s="11"/>
      <c r="G160" s="11"/>
      <c r="H160" s="3">
        <f>IF(OR(F160="",F160=0),"לא","כן")</f>
      </c>
      <c r="I160" s="3">
        <f>IF(ISNUMBER(SEARCH(",",D160)),"כן","לא")</f>
      </c>
      <c r="J160" s="3">
        <f>IF(OR(ISNUMBER(SEARCH(",",D160)),ISNUMBER(SEARCH("קבוצות",G160))),"כן","לא")</f>
      </c>
    </row>
    <row r="161" spans="2:10" x14ac:dyDescent="0.25">
      <c r="B161" s="11"/>
      <c r="C161" s="11"/>
      <c r="D161" s="11"/>
      <c r="E161" s="11"/>
      <c r="F161" s="11"/>
      <c r="G161" s="11"/>
      <c r="H161" s="3">
        <f>IF(OR(F161="",F161=0),"לא","כן")</f>
      </c>
      <c r="I161" s="3">
        <f>IF(ISNUMBER(SEARCH(",",D161)),"כן","לא")</f>
      </c>
      <c r="J161" s="3">
        <f>IF(OR(ISNUMBER(SEARCH(",",D161)),ISNUMBER(SEARCH("קבוצות",G161))),"כן","לא")</f>
      </c>
    </row>
    <row r="162" spans="2:10" x14ac:dyDescent="0.25">
      <c r="B162" s="11"/>
      <c r="C162" s="11"/>
      <c r="D162" s="11"/>
      <c r="E162" s="11"/>
      <c r="F162" s="11"/>
      <c r="G162" s="11"/>
      <c r="H162" s="3">
        <f>IF(OR(F162="",F162=0),"לא","כן")</f>
      </c>
      <c r="I162" s="3">
        <f>IF(ISNUMBER(SEARCH(",",D162)),"כן","לא")</f>
      </c>
      <c r="J162" s="3">
        <f>IF(OR(ISNUMBER(SEARCH(",",D162)),ISNUMBER(SEARCH("קבוצות",G162))),"כן","לא")</f>
      </c>
    </row>
    <row r="163" spans="2:10" x14ac:dyDescent="0.25">
      <c r="B163" s="11"/>
      <c r="C163" s="11"/>
      <c r="D163" s="11"/>
      <c r="E163" s="11"/>
      <c r="F163" s="11"/>
      <c r="G163" s="11"/>
      <c r="H163" s="3">
        <f>IF(OR(F163="",F163=0),"לא","כן")</f>
      </c>
      <c r="I163" s="3">
        <f>IF(ISNUMBER(SEARCH(",",D163)),"כן","לא")</f>
      </c>
      <c r="J163" s="3">
        <f>IF(OR(ISNUMBER(SEARCH(",",D163)),ISNUMBER(SEARCH("קבוצות",G163))),"כן","לא")</f>
      </c>
    </row>
    <row r="164" spans="2:10" x14ac:dyDescent="0.25">
      <c r="B164" s="11"/>
      <c r="C164" s="11"/>
      <c r="D164" s="11"/>
      <c r="E164" s="11"/>
      <c r="F164" s="11"/>
      <c r="G164" s="11"/>
      <c r="H164" s="3">
        <f>IF(OR(F164="",F164=0),"לא","כן")</f>
      </c>
      <c r="I164" s="3">
        <f>IF(ISNUMBER(SEARCH(",",D164)),"כן","לא")</f>
      </c>
      <c r="J164" s="3">
        <f>IF(OR(ISNUMBER(SEARCH(",",D164)),ISNUMBER(SEARCH("קבוצות",G164))),"כן","לא")</f>
      </c>
    </row>
    <row r="165" spans="2:10" x14ac:dyDescent="0.25">
      <c r="B165" s="11"/>
      <c r="C165" s="11"/>
      <c r="D165" s="11"/>
      <c r="E165" s="11"/>
      <c r="F165" s="11"/>
      <c r="G165" s="11"/>
      <c r="H165" s="3">
        <f>IF(OR(F165="",F165=0),"לא","כן")</f>
      </c>
      <c r="I165" s="3">
        <f>IF(ISNUMBER(SEARCH(",",D165)),"כן","לא")</f>
      </c>
      <c r="J165" s="3">
        <f>IF(OR(ISNUMBER(SEARCH(",",D165)),ISNUMBER(SEARCH("קבוצות",G165))),"כן","לא")</f>
      </c>
    </row>
    <row r="166" spans="2:10" x14ac:dyDescent="0.25">
      <c r="B166" s="11"/>
      <c r="C166" s="11"/>
      <c r="D166" s="11"/>
      <c r="E166" s="11"/>
      <c r="F166" s="11"/>
      <c r="G166" s="11"/>
      <c r="H166" s="3">
        <f>IF(OR(F166="",F166=0),"לא","כן")</f>
      </c>
      <c r="I166" s="3">
        <f>IF(ISNUMBER(SEARCH(",",D166)),"כן","לא")</f>
      </c>
      <c r="J166" s="3">
        <f>IF(OR(ISNUMBER(SEARCH(",",D166)),ISNUMBER(SEARCH("קבוצות",G166))),"כן","לא")</f>
      </c>
    </row>
    <row r="167" spans="2:10" x14ac:dyDescent="0.25">
      <c r="B167" s="11"/>
      <c r="C167" s="11"/>
      <c r="D167" s="11"/>
      <c r="E167" s="11"/>
      <c r="F167" s="11"/>
      <c r="G167" s="11"/>
      <c r="H167" s="3">
        <f>IF(OR(F167="",F167=0),"לא","כן")</f>
      </c>
      <c r="I167" s="3">
        <f>IF(ISNUMBER(SEARCH(",",D167)),"כן","לא")</f>
      </c>
      <c r="J167" s="3">
        <f>IF(OR(ISNUMBER(SEARCH(",",D167)),ISNUMBER(SEARCH("קבוצות",G167))),"כן","לא")</f>
      </c>
    </row>
    <row r="168" spans="2:10" x14ac:dyDescent="0.25">
      <c r="B168" s="11"/>
      <c r="C168" s="11"/>
      <c r="D168" s="11"/>
      <c r="E168" s="11"/>
      <c r="F168" s="11"/>
      <c r="G168" s="11"/>
      <c r="H168" s="3">
        <f>IF(OR(F168="",F168=0),"לא","כן")</f>
      </c>
      <c r="I168" s="3">
        <f>IF(ISNUMBER(SEARCH(",",D168)),"כן","לא")</f>
      </c>
      <c r="J168" s="3">
        <f>IF(OR(ISNUMBER(SEARCH(",",D168)),ISNUMBER(SEARCH("קבוצות",G168))),"כן","לא")</f>
      </c>
    </row>
    <row r="169" spans="2:10" x14ac:dyDescent="0.25">
      <c r="B169" s="11"/>
      <c r="C169" s="11"/>
      <c r="D169" s="11"/>
      <c r="E169" s="11"/>
      <c r="F169" s="11"/>
      <c r="G169" s="11"/>
      <c r="H169" s="3">
        <f>IF(OR(F169="",F169=0),"לא","כן")</f>
      </c>
      <c r="I169" s="3">
        <f>IF(ISNUMBER(SEARCH(",",D169)),"כן","לא")</f>
      </c>
      <c r="J169" s="3">
        <f>IF(OR(ISNUMBER(SEARCH(",",D169)),ISNUMBER(SEARCH("קבוצות",G169))),"כן","לא")</f>
      </c>
    </row>
    <row r="170" spans="2:10" x14ac:dyDescent="0.25">
      <c r="B170" s="11"/>
      <c r="C170" s="11"/>
      <c r="D170" s="11"/>
      <c r="E170" s="11"/>
      <c r="F170" s="11"/>
      <c r="G170" s="11"/>
      <c r="H170" s="3">
        <f>IF(OR(F170="",F170=0),"לא","כן")</f>
      </c>
      <c r="I170" s="3">
        <f>IF(ISNUMBER(SEARCH(",",D170)),"כן","לא")</f>
      </c>
      <c r="J170" s="3">
        <f>IF(OR(ISNUMBER(SEARCH(",",D170)),ISNUMBER(SEARCH("קבוצות",G170))),"כן","לא")</f>
      </c>
    </row>
    <row r="171" spans="2:10" x14ac:dyDescent="0.25">
      <c r="B171" s="11"/>
      <c r="C171" s="11"/>
      <c r="D171" s="11"/>
      <c r="E171" s="11"/>
      <c r="F171" s="11"/>
      <c r="G171" s="11"/>
      <c r="H171" s="3">
        <f>IF(OR(F171="",F171=0),"לא","כן")</f>
      </c>
      <c r="I171" s="3">
        <f>IF(ISNUMBER(SEARCH(",",D171)),"כן","לא")</f>
      </c>
      <c r="J171" s="3">
        <f>IF(OR(ISNUMBER(SEARCH(",",D171)),ISNUMBER(SEARCH("קבוצות",G171))),"כן","לא")</f>
      </c>
    </row>
    <row r="172" spans="2:10" x14ac:dyDescent="0.25">
      <c r="B172" s="11"/>
      <c r="C172" s="11"/>
      <c r="D172" s="11"/>
      <c r="E172" s="11"/>
      <c r="F172" s="11"/>
      <c r="G172" s="11"/>
      <c r="H172" s="3">
        <f>IF(OR(F172="",F172=0),"לא","כן")</f>
      </c>
      <c r="I172" s="3">
        <f>IF(ISNUMBER(SEARCH(",",D172)),"כן","לא")</f>
      </c>
      <c r="J172" s="3">
        <f>IF(OR(ISNUMBER(SEARCH(",",D172)),ISNUMBER(SEARCH("קבוצות",G172))),"כן","לא")</f>
      </c>
    </row>
    <row r="173" spans="2:10" x14ac:dyDescent="0.25">
      <c r="B173" s="11"/>
      <c r="C173" s="11"/>
      <c r="D173" s="11"/>
      <c r="E173" s="11"/>
      <c r="F173" s="11"/>
      <c r="G173" s="11"/>
      <c r="H173" s="3">
        <f>IF(OR(F173="",F173=0),"לא","כן")</f>
      </c>
      <c r="I173" s="3">
        <f>IF(ISNUMBER(SEARCH(",",D173)),"כן","לא")</f>
      </c>
      <c r="J173" s="3">
        <f>IF(OR(ISNUMBER(SEARCH(",",D173)),ISNUMBER(SEARCH("קבוצות",G173))),"כן","לא")</f>
      </c>
    </row>
    <row r="174" spans="2:10" x14ac:dyDescent="0.25">
      <c r="B174" s="11"/>
      <c r="C174" s="11"/>
      <c r="D174" s="11"/>
      <c r="E174" s="11"/>
      <c r="F174" s="11"/>
      <c r="G174" s="11"/>
      <c r="H174" s="3">
        <f>IF(OR(F174="",F174=0),"לא","כן")</f>
      </c>
      <c r="I174" s="3">
        <f>IF(ISNUMBER(SEARCH(",",D174)),"כן","לא")</f>
      </c>
      <c r="J174" s="3">
        <f>IF(OR(ISNUMBER(SEARCH(",",D174)),ISNUMBER(SEARCH("קבוצות",G174))),"כן","לא")</f>
      </c>
    </row>
    <row r="175" spans="2:10" x14ac:dyDescent="0.25">
      <c r="B175" s="11"/>
      <c r="C175" s="11"/>
      <c r="D175" s="11"/>
      <c r="E175" s="11"/>
      <c r="F175" s="11"/>
      <c r="G175" s="11"/>
      <c r="H175" s="3">
        <f>IF(OR(F175="",F175=0),"לא","כן")</f>
      </c>
      <c r="I175" s="3">
        <f>IF(ISNUMBER(SEARCH(",",D175)),"כן","לא")</f>
      </c>
      <c r="J175" s="3">
        <f>IF(OR(ISNUMBER(SEARCH(",",D175)),ISNUMBER(SEARCH("קבוצות",G175))),"כן","לא")</f>
      </c>
    </row>
    <row r="176" spans="2:10" x14ac:dyDescent="0.25">
      <c r="B176" s="11"/>
      <c r="C176" s="11"/>
      <c r="D176" s="11"/>
      <c r="E176" s="11"/>
      <c r="F176" s="11"/>
      <c r="G176" s="11"/>
      <c r="H176" s="3">
        <f>IF(OR(F176="",F176=0),"לא","כן")</f>
      </c>
      <c r="I176" s="3">
        <f>IF(ISNUMBER(SEARCH(",",D176)),"כן","לא")</f>
      </c>
      <c r="J176" s="3">
        <f>IF(OR(ISNUMBER(SEARCH(",",D176)),ISNUMBER(SEARCH("קבוצות",G176))),"כן","לא")</f>
      </c>
    </row>
    <row r="177" spans="2:10" x14ac:dyDescent="0.25">
      <c r="B177" s="11"/>
      <c r="C177" s="11"/>
      <c r="D177" s="11"/>
      <c r="E177" s="11"/>
      <c r="F177" s="11"/>
      <c r="G177" s="11"/>
      <c r="H177" s="3">
        <f>IF(OR(F177="",F177=0),"לא","כן")</f>
      </c>
      <c r="I177" s="3">
        <f>IF(ISNUMBER(SEARCH(",",D177)),"כן","לא")</f>
      </c>
      <c r="J177" s="3">
        <f>IF(OR(ISNUMBER(SEARCH(",",D177)),ISNUMBER(SEARCH("קבוצות",G177))),"כן","לא")</f>
      </c>
    </row>
    <row r="178" spans="2:10" x14ac:dyDescent="0.25">
      <c r="B178" s="11"/>
      <c r="C178" s="11"/>
      <c r="D178" s="11"/>
      <c r="E178" s="11"/>
      <c r="F178" s="11"/>
      <c r="G178" s="11"/>
      <c r="H178" s="3">
        <f>IF(OR(F178="",F178=0),"לא","כן")</f>
      </c>
      <c r="I178" s="3">
        <f>IF(ISNUMBER(SEARCH(",",D178)),"כן","לא")</f>
      </c>
      <c r="J178" s="3">
        <f>IF(OR(ISNUMBER(SEARCH(",",D178)),ISNUMBER(SEARCH("קבוצות",G178))),"כן","לא")</f>
      </c>
    </row>
    <row r="179" spans="2:10" x14ac:dyDescent="0.25">
      <c r="B179" s="11"/>
      <c r="C179" s="11"/>
      <c r="D179" s="11"/>
      <c r="E179" s="11"/>
      <c r="F179" s="11"/>
      <c r="G179" s="11"/>
      <c r="H179" s="3">
        <f>IF(OR(F179="",F179=0),"לא","כן")</f>
      </c>
      <c r="I179" s="3">
        <f>IF(ISNUMBER(SEARCH(",",D179)),"כן","לא")</f>
      </c>
      <c r="J179" s="3">
        <f>IF(OR(ISNUMBER(SEARCH(",",D179)),ISNUMBER(SEARCH("קבוצות",G179))),"כן","לא")</f>
      </c>
    </row>
    <row r="180" spans="2:10" x14ac:dyDescent="0.25">
      <c r="B180" s="11"/>
      <c r="C180" s="11"/>
      <c r="D180" s="11"/>
      <c r="E180" s="11"/>
      <c r="F180" s="11"/>
      <c r="G180" s="11"/>
      <c r="H180" s="3">
        <f>IF(OR(F180="",F180=0),"לא","כן")</f>
      </c>
      <c r="I180" s="3">
        <f>IF(ISNUMBER(SEARCH(",",D180)),"כן","לא")</f>
      </c>
      <c r="J180" s="3">
        <f>IF(OR(ISNUMBER(SEARCH(",",D180)),ISNUMBER(SEARCH("קבוצות",G180))),"כן","לא")</f>
      </c>
    </row>
    <row r="181" spans="2:10" x14ac:dyDescent="0.25">
      <c r="B181" s="11"/>
      <c r="C181" s="11"/>
      <c r="D181" s="11"/>
      <c r="E181" s="11"/>
      <c r="F181" s="11"/>
      <c r="G181" s="11"/>
      <c r="H181" s="3">
        <f>IF(OR(F181="",F181=0),"לא","כן")</f>
      </c>
      <c r="I181" s="3">
        <f>IF(ISNUMBER(SEARCH(",",D181)),"כן","לא")</f>
      </c>
      <c r="J181" s="3">
        <f>IF(OR(ISNUMBER(SEARCH(",",D181)),ISNUMBER(SEARCH("קבוצות",G181))),"כן","לא")</f>
      </c>
    </row>
    <row r="182" spans="2:10" x14ac:dyDescent="0.25">
      <c r="B182" s="11"/>
      <c r="C182" s="11"/>
      <c r="D182" s="11"/>
      <c r="E182" s="11"/>
      <c r="F182" s="11"/>
      <c r="G182" s="11"/>
      <c r="H182" s="3">
        <f>IF(OR(F182="",F182=0),"לא","כן")</f>
      </c>
      <c r="I182" s="3">
        <f>IF(ISNUMBER(SEARCH(",",D182)),"כן","לא")</f>
      </c>
      <c r="J182" s="3">
        <f>IF(OR(ISNUMBER(SEARCH(",",D182)),ISNUMBER(SEARCH("קבוצות",G182))),"כן","לא")</f>
      </c>
    </row>
    <row r="183" spans="2:10" x14ac:dyDescent="0.25">
      <c r="B183" s="11"/>
      <c r="C183" s="11"/>
      <c r="D183" s="11"/>
      <c r="E183" s="11"/>
      <c r="F183" s="11"/>
      <c r="G183" s="11"/>
      <c r="H183" s="3">
        <f>IF(OR(F183="",F183=0),"לא","כן")</f>
      </c>
      <c r="I183" s="3">
        <f>IF(ISNUMBER(SEARCH(",",D183)),"כן","לא")</f>
      </c>
      <c r="J183" s="3">
        <f>IF(OR(ISNUMBER(SEARCH(",",D183)),ISNUMBER(SEARCH("קבוצות",G183))),"כן","לא")</f>
      </c>
    </row>
    <row r="184" spans="2:10" x14ac:dyDescent="0.25">
      <c r="B184" s="11"/>
      <c r="C184" s="11"/>
      <c r="D184" s="11"/>
      <c r="E184" s="11"/>
      <c r="F184" s="11"/>
      <c r="G184" s="11"/>
      <c r="H184" s="3">
        <f>IF(OR(F184="",F184=0),"לא","כן")</f>
      </c>
      <c r="I184" s="3">
        <f>IF(ISNUMBER(SEARCH(",",D184)),"כן","לא")</f>
      </c>
      <c r="J184" s="3">
        <f>IF(OR(ISNUMBER(SEARCH(",",D184)),ISNUMBER(SEARCH("קבוצות",G184))),"כן","לא")</f>
      </c>
    </row>
    <row r="185" spans="2:10" x14ac:dyDescent="0.25">
      <c r="B185" s="11"/>
      <c r="C185" s="11"/>
      <c r="D185" s="11"/>
      <c r="E185" s="11"/>
      <c r="F185" s="11"/>
      <c r="G185" s="11"/>
      <c r="H185" s="3">
        <f>IF(OR(F185="",F185=0),"לא","כן")</f>
      </c>
      <c r="I185" s="3">
        <f>IF(ISNUMBER(SEARCH(",",D185)),"כן","לא")</f>
      </c>
      <c r="J185" s="3">
        <f>IF(OR(ISNUMBER(SEARCH(",",D185)),ISNUMBER(SEARCH("קבוצות",G185))),"כן","לא")</f>
      </c>
    </row>
    <row r="186" spans="2:10" x14ac:dyDescent="0.25">
      <c r="B186" s="11"/>
      <c r="C186" s="11"/>
      <c r="D186" s="11"/>
      <c r="E186" s="11"/>
      <c r="F186" s="11"/>
      <c r="G186" s="11"/>
      <c r="H186" s="3">
        <f>IF(OR(F186="",F186=0),"לא","כן")</f>
      </c>
      <c r="I186" s="3">
        <f>IF(ISNUMBER(SEARCH(",",D186)),"כן","לא")</f>
      </c>
      <c r="J186" s="3">
        <f>IF(OR(ISNUMBER(SEARCH(",",D186)),ISNUMBER(SEARCH("קבוצות",G186))),"כן","לא")</f>
      </c>
    </row>
    <row r="187" spans="2:10" x14ac:dyDescent="0.25">
      <c r="B187" s="11"/>
      <c r="C187" s="11"/>
      <c r="D187" s="11"/>
      <c r="E187" s="11"/>
      <c r="F187" s="11"/>
      <c r="G187" s="11"/>
      <c r="H187" s="3">
        <f>IF(OR(F187="",F187=0),"לא","כן")</f>
      </c>
      <c r="I187" s="3">
        <f>IF(ISNUMBER(SEARCH(",",D187)),"כן","לא")</f>
      </c>
      <c r="J187" s="3">
        <f>IF(OR(ISNUMBER(SEARCH(",",D187)),ISNUMBER(SEARCH("קבוצות",G187))),"כן","לא")</f>
      </c>
    </row>
    <row r="188" spans="2:10" x14ac:dyDescent="0.25">
      <c r="B188" s="11"/>
      <c r="C188" s="11"/>
      <c r="D188" s="11"/>
      <c r="E188" s="11"/>
      <c r="F188" s="11"/>
      <c r="G188" s="11"/>
      <c r="H188" s="3">
        <f>IF(OR(F188="",F188=0),"לא","כן")</f>
      </c>
      <c r="I188" s="3">
        <f>IF(ISNUMBER(SEARCH(",",D188)),"כן","לא")</f>
      </c>
      <c r="J188" s="3">
        <f>IF(OR(ISNUMBER(SEARCH(",",D188)),ISNUMBER(SEARCH("קבוצות",G188))),"כן","לא")</f>
      </c>
    </row>
    <row r="189" spans="2:10" x14ac:dyDescent="0.25">
      <c r="B189" s="11"/>
      <c r="C189" s="11"/>
      <c r="D189" s="11"/>
      <c r="E189" s="11"/>
      <c r="F189" s="11"/>
      <c r="G189" s="11"/>
      <c r="H189" s="3">
        <f>IF(OR(F189="",F189=0),"לא","כן")</f>
      </c>
      <c r="I189" s="3">
        <f>IF(ISNUMBER(SEARCH(",",D189)),"כן","לא")</f>
      </c>
      <c r="J189" s="3">
        <f>IF(OR(ISNUMBER(SEARCH(",",D189)),ISNUMBER(SEARCH("קבוצות",G189))),"כן","לא")</f>
      </c>
    </row>
    <row r="190" spans="2:10" x14ac:dyDescent="0.25">
      <c r="B190" s="11"/>
      <c r="C190" s="11"/>
      <c r="D190" s="11"/>
      <c r="E190" s="11"/>
      <c r="F190" s="11"/>
      <c r="G190" s="11"/>
      <c r="H190" s="3">
        <f>IF(OR(F190="",F190=0),"לא","כן")</f>
      </c>
      <c r="I190" s="3">
        <f>IF(ISNUMBER(SEARCH(",",D190)),"כן","לא")</f>
      </c>
      <c r="J190" s="3">
        <f>IF(OR(ISNUMBER(SEARCH(",",D190)),ISNUMBER(SEARCH("קבוצות",G190))),"כן","לא")</f>
      </c>
    </row>
    <row r="191" spans="2:10" x14ac:dyDescent="0.25">
      <c r="B191" s="11"/>
      <c r="C191" s="11"/>
      <c r="D191" s="11"/>
      <c r="E191" s="11"/>
      <c r="F191" s="11"/>
      <c r="G191" s="11"/>
      <c r="H191" s="3">
        <f>IF(OR(F191="",F191=0),"לא","כן")</f>
      </c>
      <c r="I191" s="3">
        <f>IF(ISNUMBER(SEARCH(",",D191)),"כן","לא")</f>
      </c>
      <c r="J191" s="3">
        <f>IF(OR(ISNUMBER(SEARCH(",",D191)),ISNUMBER(SEARCH("קבוצות",G191))),"כן","לא")</f>
      </c>
    </row>
    <row r="192" spans="2:10" x14ac:dyDescent="0.25">
      <c r="B192" s="11"/>
      <c r="C192" s="11"/>
      <c r="D192" s="11"/>
      <c r="E192" s="11"/>
      <c r="F192" s="11"/>
      <c r="G192" s="11"/>
      <c r="H192" s="3">
        <f>IF(OR(F192="",F192=0),"לא","כן")</f>
      </c>
      <c r="I192" s="3">
        <f>IF(ISNUMBER(SEARCH(",",D192)),"כן","לא")</f>
      </c>
      <c r="J192" s="3">
        <f>IF(OR(ISNUMBER(SEARCH(",",D192)),ISNUMBER(SEARCH("קבוצות",G192))),"כן","לא")</f>
      </c>
    </row>
    <row r="193" spans="2:10" x14ac:dyDescent="0.25">
      <c r="B193" s="11"/>
      <c r="C193" s="11"/>
      <c r="D193" s="11"/>
      <c r="E193" s="11"/>
      <c r="F193" s="11"/>
      <c r="G193" s="11"/>
      <c r="H193" s="3">
        <f>IF(OR(F193="",F193=0),"לא","כן")</f>
      </c>
      <c r="I193" s="3">
        <f>IF(ISNUMBER(SEARCH(",",D193)),"כן","לא")</f>
      </c>
      <c r="J193" s="3">
        <f>IF(OR(ISNUMBER(SEARCH(",",D193)),ISNUMBER(SEARCH("קבוצות",G193))),"כן","לא")</f>
      </c>
    </row>
    <row r="194" spans="2:10" x14ac:dyDescent="0.25">
      <c r="B194" s="11"/>
      <c r="C194" s="11"/>
      <c r="D194" s="11"/>
      <c r="E194" s="11"/>
      <c r="F194" s="11"/>
      <c r="G194" s="11"/>
      <c r="H194" s="3">
        <f>IF(OR(F194="",F194=0),"לא","כן")</f>
      </c>
      <c r="I194" s="3">
        <f>IF(ISNUMBER(SEARCH(",",D194)),"כן","לא")</f>
      </c>
      <c r="J194" s="3">
        <f>IF(OR(ISNUMBER(SEARCH(",",D194)),ISNUMBER(SEARCH("קבוצות",G194))),"כן","לא")</f>
      </c>
    </row>
    <row r="195" spans="2:10" x14ac:dyDescent="0.25">
      <c r="B195" s="11"/>
      <c r="C195" s="11"/>
      <c r="D195" s="11"/>
      <c r="E195" s="11"/>
      <c r="F195" s="11"/>
      <c r="G195" s="11"/>
      <c r="H195" s="3">
        <f>IF(OR(F195="",F195=0),"לא","כן")</f>
      </c>
      <c r="I195" s="3">
        <f>IF(ISNUMBER(SEARCH(",",D195)),"כן","לא")</f>
      </c>
      <c r="J195" s="3">
        <f>IF(OR(ISNUMBER(SEARCH(",",D195)),ISNUMBER(SEARCH("קבוצות",G195))),"כן","לא")</f>
      </c>
    </row>
    <row r="196" spans="2:10" x14ac:dyDescent="0.25">
      <c r="B196" s="11"/>
      <c r="C196" s="11"/>
      <c r="D196" s="11"/>
      <c r="E196" s="11"/>
      <c r="F196" s="11"/>
      <c r="G196" s="11"/>
      <c r="H196" s="3">
        <f>IF(OR(F196="",F196=0),"לא","כן")</f>
      </c>
      <c r="I196" s="3">
        <f>IF(ISNUMBER(SEARCH(",",D196)),"כן","לא")</f>
      </c>
      <c r="J196" s="3">
        <f>IF(OR(ISNUMBER(SEARCH(",",D196)),ISNUMBER(SEARCH("קבוצות",G196))),"כן","לא")</f>
      </c>
    </row>
    <row r="197" spans="2:10" x14ac:dyDescent="0.25">
      <c r="B197" s="11"/>
      <c r="C197" s="11"/>
      <c r="D197" s="11"/>
      <c r="E197" s="11"/>
      <c r="F197" s="11"/>
      <c r="G197" s="11"/>
      <c r="H197" s="3">
        <f>IF(OR(F197="",F197=0),"לא","כן")</f>
      </c>
      <c r="I197" s="3">
        <f>IF(ISNUMBER(SEARCH(",",D197)),"כן","לא")</f>
      </c>
      <c r="J197" s="3">
        <f>IF(OR(ISNUMBER(SEARCH(",",D197)),ISNUMBER(SEARCH("קבוצות",G197))),"כן","לא")</f>
      </c>
    </row>
    <row r="198" spans="2:10" x14ac:dyDescent="0.25">
      <c r="B198" s="11"/>
      <c r="C198" s="11"/>
      <c r="D198" s="11"/>
      <c r="E198" s="11"/>
      <c r="F198" s="11"/>
      <c r="G198" s="11"/>
      <c r="H198" s="3">
        <f>IF(OR(F198="",F198=0),"לא","כן")</f>
      </c>
      <c r="I198" s="3">
        <f>IF(ISNUMBER(SEARCH(",",D198)),"כן","לא")</f>
      </c>
      <c r="J198" s="3">
        <f>IF(OR(ISNUMBER(SEARCH(",",D198)),ISNUMBER(SEARCH("קבוצות",G198))),"כן","לא")</f>
      </c>
    </row>
    <row r="199" spans="2:10" x14ac:dyDescent="0.25">
      <c r="B199" s="11"/>
      <c r="C199" s="11"/>
      <c r="D199" s="11"/>
      <c r="E199" s="11"/>
      <c r="F199" s="11"/>
      <c r="G199" s="11"/>
      <c r="H199" s="3">
        <f>IF(OR(F199="",F199=0),"לא","כן")</f>
      </c>
      <c r="I199" s="3">
        <f>IF(ISNUMBER(SEARCH(",",D199)),"כן","לא")</f>
      </c>
      <c r="J199" s="3">
        <f>IF(OR(ISNUMBER(SEARCH(",",D199)),ISNUMBER(SEARCH("קבוצות",G199))),"כן","לא")</f>
      </c>
    </row>
    <row r="200" spans="2:10" x14ac:dyDescent="0.25">
      <c r="B200" s="11"/>
      <c r="C200" s="11"/>
      <c r="D200" s="11"/>
      <c r="E200" s="11"/>
      <c r="F200" s="11"/>
      <c r="G200" s="11"/>
      <c r="H200" s="3">
        <f>IF(OR(F200="",F200=0),"לא","כן")</f>
      </c>
      <c r="I200" s="3">
        <f>IF(ISNUMBER(SEARCH(",",D200)),"כן","לא")</f>
      </c>
      <c r="J200" s="3">
        <f>IF(OR(ISNUMBER(SEARCH(",",D200)),ISNUMBER(SEARCH("קבוצות",G200))),"כן","לא")</f>
      </c>
    </row>
    <row r="201" spans="2:10" x14ac:dyDescent="0.25">
      <c r="B201" s="11"/>
      <c r="C201" s="11"/>
      <c r="D201" s="11"/>
      <c r="E201" s="11"/>
      <c r="F201" s="11"/>
      <c r="G201" s="11"/>
      <c r="H201" s="3">
        <f>IF(OR(F201="",F201=0),"לא","כן")</f>
      </c>
      <c r="I201" s="3">
        <f>IF(ISNUMBER(SEARCH(",",D201)),"כן","לא")</f>
      </c>
      <c r="J201" s="3">
        <f>IF(OR(ISNUMBER(SEARCH(",",D201)),ISNUMBER(SEARCH("קבוצות",G201))),"כן","לא")</f>
      </c>
    </row>
    <row r="202" spans="2:10" x14ac:dyDescent="0.25">
      <c r="B202" s="11"/>
      <c r="C202" s="11"/>
      <c r="D202" s="11"/>
      <c r="E202" s="11"/>
      <c r="F202" s="11"/>
      <c r="G202" s="11"/>
      <c r="H202" s="3">
        <f>IF(OR(F202="",F202=0),"לא","כן")</f>
      </c>
      <c r="I202" s="3">
        <f>IF(ISNUMBER(SEARCH(",",D202)),"כן","לא")</f>
      </c>
      <c r="J202" s="3">
        <f>IF(OR(ISNUMBER(SEARCH(",",D202)),ISNUMBER(SEARCH("קבוצות",G202))),"כן","לא")</f>
      </c>
    </row>
    <row r="203" spans="2:10" x14ac:dyDescent="0.25">
      <c r="B203" s="11"/>
      <c r="C203" s="11"/>
      <c r="D203" s="11"/>
      <c r="E203" s="11"/>
      <c r="F203" s="11"/>
      <c r="G203" s="11"/>
      <c r="H203" s="3">
        <f>IF(OR(F203="",F203=0),"לא","כן")</f>
      </c>
      <c r="I203" s="3">
        <f>IF(ISNUMBER(SEARCH(",",D203)),"כן","לא")</f>
      </c>
      <c r="J203" s="3">
        <f>IF(OR(ISNUMBER(SEARCH(",",D203)),ISNUMBER(SEARCH("קבוצות",G203))),"כן","לא")</f>
      </c>
    </row>
    <row r="204" spans="2:10" x14ac:dyDescent="0.25">
      <c r="B204" s="11"/>
      <c r="C204" s="11"/>
      <c r="D204" s="11"/>
      <c r="E204" s="11"/>
      <c r="F204" s="11"/>
      <c r="G204" s="11"/>
      <c r="H204" s="3">
        <f>IF(OR(F204="",F204=0),"לא","כן")</f>
      </c>
      <c r="I204" s="3">
        <f>IF(ISNUMBER(SEARCH(",",D204)),"כן","לא")</f>
      </c>
      <c r="J204" s="3">
        <f>IF(OR(ISNUMBER(SEARCH(",",D204)),ISNUMBER(SEARCH("קבוצות",G204))),"כן","לא")</f>
      </c>
    </row>
    <row r="205" spans="2:10" x14ac:dyDescent="0.25">
      <c r="B205" s="11"/>
      <c r="C205" s="11"/>
      <c r="D205" s="11"/>
      <c r="E205" s="11"/>
      <c r="F205" s="11"/>
      <c r="G205" s="11"/>
      <c r="H205" s="3">
        <f>IF(OR(F205="",F205=0),"לא","כן")</f>
      </c>
      <c r="I205" s="3">
        <f>IF(ISNUMBER(SEARCH(",",D205)),"כן","לא")</f>
      </c>
      <c r="J205" s="3">
        <f>IF(OR(ISNUMBER(SEARCH(",",D205)),ISNUMBER(SEARCH("קבוצות",G205))),"כן","לא")</f>
      </c>
    </row>
    <row r="206" spans="2:10" x14ac:dyDescent="0.25">
      <c r="B206" s="11"/>
      <c r="C206" s="11"/>
      <c r="D206" s="11"/>
      <c r="E206" s="11"/>
      <c r="F206" s="11"/>
      <c r="G206" s="11"/>
      <c r="H206" s="3">
        <f>IF(OR(F206="",F206=0),"לא","כן")</f>
      </c>
      <c r="I206" s="3">
        <f>IF(ISNUMBER(SEARCH(",",D206)),"כן","לא")</f>
      </c>
      <c r="J206" s="3">
        <f>IF(OR(ISNUMBER(SEARCH(",",D206)),ISNUMBER(SEARCH("קבוצות",G206))),"כן","לא")</f>
      </c>
    </row>
    <row r="207" spans="2:10" x14ac:dyDescent="0.25">
      <c r="B207" s="11"/>
      <c r="C207" s="11"/>
      <c r="D207" s="11"/>
      <c r="E207" s="11"/>
      <c r="F207" s="11"/>
      <c r="G207" s="11"/>
      <c r="H207" s="3">
        <f>IF(OR(F207="",F207=0),"לא","כן")</f>
      </c>
      <c r="I207" s="3">
        <f>IF(ISNUMBER(SEARCH(",",D207)),"כן","לא")</f>
      </c>
      <c r="J207" s="3">
        <f>IF(OR(ISNUMBER(SEARCH(",",D207)),ISNUMBER(SEARCH("קבוצות",G207))),"כן","לא")</f>
      </c>
    </row>
    <row r="208" spans="2:10" x14ac:dyDescent="0.25">
      <c r="B208" s="11"/>
      <c r="C208" s="11"/>
      <c r="D208" s="11"/>
      <c r="E208" s="11"/>
      <c r="F208" s="11"/>
      <c r="G208" s="11"/>
      <c r="H208" s="3">
        <f>IF(OR(F208="",F208=0),"לא","כן")</f>
      </c>
      <c r="I208" s="3">
        <f>IF(ISNUMBER(SEARCH(",",D208)),"כן","לא")</f>
      </c>
      <c r="J208" s="3">
        <f>IF(OR(ISNUMBER(SEARCH(",",D208)),ISNUMBER(SEARCH("קבוצות",G208))),"כן","לא")</f>
      </c>
    </row>
    <row r="209" spans="2:10" x14ac:dyDescent="0.25">
      <c r="B209" s="11"/>
      <c r="C209" s="11"/>
      <c r="D209" s="11"/>
      <c r="E209" s="11"/>
      <c r="F209" s="11"/>
      <c r="G209" s="11"/>
      <c r="H209" s="3">
        <f>IF(OR(F209="",F209=0),"לא","כן")</f>
      </c>
      <c r="I209" s="3">
        <f>IF(ISNUMBER(SEARCH(",",D209)),"כן","לא")</f>
      </c>
      <c r="J209" s="3">
        <f>IF(OR(ISNUMBER(SEARCH(",",D209)),ISNUMBER(SEARCH("קבוצות",G209))),"כן","לא")</f>
      </c>
    </row>
    <row r="210" spans="2:10" x14ac:dyDescent="0.25">
      <c r="B210" s="11"/>
      <c r="C210" s="11"/>
      <c r="D210" s="11"/>
      <c r="E210" s="11"/>
      <c r="F210" s="11"/>
      <c r="G210" s="11"/>
      <c r="H210" s="3">
        <f>IF(OR(F210="",F210=0),"לא","כן")</f>
      </c>
      <c r="I210" s="3">
        <f>IF(ISNUMBER(SEARCH(",",D210)),"כן","לא")</f>
      </c>
      <c r="J210" s="3">
        <f>IF(OR(ISNUMBER(SEARCH(",",D210)),ISNUMBER(SEARCH("קבוצות",G210))),"כן","לא")</f>
      </c>
    </row>
    <row r="211" spans="2:10" x14ac:dyDescent="0.25">
      <c r="B211" s="11"/>
      <c r="C211" s="11"/>
      <c r="D211" s="11"/>
      <c r="E211" s="11"/>
      <c r="F211" s="11"/>
      <c r="G211" s="11"/>
      <c r="H211" s="3">
        <f>IF(OR(F211="",F211=0),"לא","כן")</f>
      </c>
      <c r="I211" s="3">
        <f>IF(ISNUMBER(SEARCH(",",D211)),"כן","לא")</f>
      </c>
      <c r="J211" s="3">
        <f>IF(OR(ISNUMBER(SEARCH(",",D211)),ISNUMBER(SEARCH("קבוצות",G211))),"כן","לא")</f>
      </c>
    </row>
    <row r="212" spans="2:10" x14ac:dyDescent="0.25">
      <c r="B212" s="11"/>
      <c r="C212" s="11"/>
      <c r="D212" s="11"/>
      <c r="E212" s="11"/>
      <c r="F212" s="11"/>
      <c r="G212" s="11"/>
      <c r="H212" s="3">
        <f>IF(OR(F212="",F212=0),"לא","כן")</f>
      </c>
      <c r="I212" s="3">
        <f>IF(ISNUMBER(SEARCH(",",D212)),"כן","לא")</f>
      </c>
      <c r="J212" s="3">
        <f>IF(OR(ISNUMBER(SEARCH(",",D212)),ISNUMBER(SEARCH("קבוצות",G212))),"כן","לא")</f>
      </c>
    </row>
    <row r="213" spans="2:10" x14ac:dyDescent="0.25">
      <c r="B213" s="11"/>
      <c r="C213" s="11"/>
      <c r="D213" s="11"/>
      <c r="E213" s="11"/>
      <c r="F213" s="11"/>
      <c r="G213" s="11"/>
      <c r="H213" s="3">
        <f>IF(OR(F213="",F213=0),"לא","כן")</f>
      </c>
      <c r="I213" s="3">
        <f>IF(ISNUMBER(SEARCH(",",D213)),"כן","לא")</f>
      </c>
      <c r="J213" s="3">
        <f>IF(OR(ISNUMBER(SEARCH(",",D213)),ISNUMBER(SEARCH("קבוצות",G213))),"כן","לא")</f>
      </c>
    </row>
    <row r="214" spans="2:10" x14ac:dyDescent="0.25">
      <c r="B214" s="11"/>
      <c r="C214" s="11"/>
      <c r="D214" s="11"/>
      <c r="E214" s="11"/>
      <c r="F214" s="11"/>
      <c r="G214" s="11"/>
      <c r="H214" s="3">
        <f>IF(OR(F214="",F214=0),"לא","כן")</f>
      </c>
      <c r="I214" s="3">
        <f>IF(ISNUMBER(SEARCH(",",D214)),"כן","לא")</f>
      </c>
      <c r="J214" s="3">
        <f>IF(OR(ISNUMBER(SEARCH(",",D214)),ISNUMBER(SEARCH("קבוצות",G214))),"כן","לא")</f>
      </c>
    </row>
    <row r="215" spans="2:10" x14ac:dyDescent="0.25">
      <c r="B215" s="11"/>
      <c r="C215" s="11"/>
      <c r="D215" s="11"/>
      <c r="E215" s="11"/>
      <c r="F215" s="11"/>
      <c r="G215" s="11"/>
      <c r="H215" s="3">
        <f>IF(OR(F215="",F215=0),"לא","כן")</f>
      </c>
      <c r="I215" s="3">
        <f>IF(ISNUMBER(SEARCH(",",D215)),"כן","לא")</f>
      </c>
      <c r="J215" s="3">
        <f>IF(OR(ISNUMBER(SEARCH(",",D215)),ISNUMBER(SEARCH("קבוצות",G215))),"כן","לא")</f>
      </c>
    </row>
    <row r="216" spans="2:10" x14ac:dyDescent="0.25">
      <c r="B216" s="11"/>
      <c r="C216" s="11"/>
      <c r="D216" s="11"/>
      <c r="E216" s="11"/>
      <c r="F216" s="11"/>
      <c r="G216" s="11"/>
      <c r="H216" s="3">
        <f>IF(OR(F216="",F216=0),"לא","כן")</f>
      </c>
      <c r="I216" s="3">
        <f>IF(ISNUMBER(SEARCH(",",D216)),"כן","לא")</f>
      </c>
      <c r="J216" s="3">
        <f>IF(OR(ISNUMBER(SEARCH(",",D216)),ISNUMBER(SEARCH("קבוצות",G216))),"כן","לא")</f>
      </c>
    </row>
    <row r="217" spans="2:10" x14ac:dyDescent="0.25">
      <c r="B217" s="11"/>
      <c r="C217" s="11"/>
      <c r="D217" s="11"/>
      <c r="E217" s="11"/>
      <c r="F217" s="11"/>
      <c r="G217" s="11"/>
      <c r="H217" s="3">
        <f>IF(OR(F217="",F217=0),"לא","כן")</f>
      </c>
      <c r="I217" s="3">
        <f>IF(ISNUMBER(SEARCH(",",D217)),"כן","לא")</f>
      </c>
      <c r="J217" s="3">
        <f>IF(OR(ISNUMBER(SEARCH(",",D217)),ISNUMBER(SEARCH("קבוצות",G217))),"כן","לא")</f>
      </c>
    </row>
    <row r="218" spans="2:10" x14ac:dyDescent="0.25">
      <c r="B218" s="11"/>
      <c r="C218" s="11"/>
      <c r="D218" s="11"/>
      <c r="E218" s="11"/>
      <c r="F218" s="11"/>
      <c r="G218" s="11"/>
      <c r="H218" s="3">
        <f>IF(OR(F218="",F218=0),"לא","כן")</f>
      </c>
      <c r="I218" s="3">
        <f>IF(ISNUMBER(SEARCH(",",D218)),"כן","לא")</f>
      </c>
      <c r="J218" s="3">
        <f>IF(OR(ISNUMBER(SEARCH(",",D218)),ISNUMBER(SEARCH("קבוצות",G218))),"כן","לא")</f>
      </c>
    </row>
    <row r="219" spans="2:10" x14ac:dyDescent="0.25">
      <c r="B219" s="11"/>
      <c r="C219" s="11"/>
      <c r="D219" s="11"/>
      <c r="E219" s="11"/>
      <c r="F219" s="11"/>
      <c r="G219" s="11"/>
      <c r="H219" s="3">
        <f>IF(OR(F219="",F219=0),"לא","כן")</f>
      </c>
      <c r="I219" s="3">
        <f>IF(ISNUMBER(SEARCH(",",D219)),"כן","לא")</f>
      </c>
      <c r="J219" s="3">
        <f>IF(OR(ISNUMBER(SEARCH(",",D219)),ISNUMBER(SEARCH("קבוצות",G219))),"כן","לא")</f>
      </c>
    </row>
    <row r="220" spans="2:10" x14ac:dyDescent="0.25">
      <c r="B220" s="11"/>
      <c r="C220" s="11"/>
      <c r="D220" s="11"/>
      <c r="E220" s="11"/>
      <c r="F220" s="11"/>
      <c r="G220" s="11"/>
      <c r="H220" s="3">
        <f>IF(OR(F220="",F220=0),"לא","כן")</f>
      </c>
      <c r="I220" s="3">
        <f>IF(ISNUMBER(SEARCH(",",D220)),"כן","לא")</f>
      </c>
      <c r="J220" s="3">
        <f>IF(OR(ISNUMBER(SEARCH(",",D220)),ISNUMBER(SEARCH("קבוצות",G220))),"כן","לא")</f>
      </c>
    </row>
    <row r="221" spans="2:10" x14ac:dyDescent="0.25">
      <c r="B221" s="11"/>
      <c r="C221" s="11"/>
      <c r="D221" s="11"/>
      <c r="E221" s="11"/>
      <c r="F221" s="11"/>
      <c r="G221" s="11"/>
      <c r="H221" s="3">
        <f>IF(OR(F221="",F221=0),"לא","כן")</f>
      </c>
      <c r="I221" s="3">
        <f>IF(ISNUMBER(SEARCH(",",D221)),"כן","לא")</f>
      </c>
      <c r="J221" s="3">
        <f>IF(OR(ISNUMBER(SEARCH(",",D221)),ISNUMBER(SEARCH("קבוצות",G221))),"כן","לא")</f>
      </c>
    </row>
    <row r="222" spans="2:10" x14ac:dyDescent="0.25">
      <c r="B222" s="11"/>
      <c r="C222" s="11"/>
      <c r="D222" s="11"/>
      <c r="E222" s="11"/>
      <c r="F222" s="11"/>
      <c r="G222" s="11"/>
      <c r="H222" s="3">
        <f>IF(OR(F222="",F222=0),"לא","כן")</f>
      </c>
      <c r="I222" s="3">
        <f>IF(ISNUMBER(SEARCH(",",D222)),"כן","לא")</f>
      </c>
      <c r="J222" s="3">
        <f>IF(OR(ISNUMBER(SEARCH(",",D222)),ISNUMBER(SEARCH("קבוצות",G222))),"כן","לא")</f>
      </c>
    </row>
    <row r="223" spans="2:10" x14ac:dyDescent="0.25">
      <c r="B223" s="11"/>
      <c r="C223" s="11"/>
      <c r="D223" s="11"/>
      <c r="E223" s="11"/>
      <c r="F223" s="11"/>
      <c r="G223" s="11"/>
      <c r="H223" s="3">
        <f>IF(OR(F223="",F223=0),"לא","כן")</f>
      </c>
      <c r="I223" s="3">
        <f>IF(ISNUMBER(SEARCH(",",D223)),"כן","לא")</f>
      </c>
      <c r="J223" s="3">
        <f>IF(OR(ISNUMBER(SEARCH(",",D223)),ISNUMBER(SEARCH("קבוצות",G223))),"כן","לא")</f>
      </c>
    </row>
    <row r="224" spans="2:10" x14ac:dyDescent="0.25">
      <c r="B224" s="11"/>
      <c r="C224" s="11"/>
      <c r="D224" s="11"/>
      <c r="E224" s="11"/>
      <c r="F224" s="11"/>
      <c r="G224" s="11"/>
      <c r="H224" s="3">
        <f>IF(OR(F224="",F224=0),"לא","כן")</f>
      </c>
      <c r="I224" s="3">
        <f>IF(ISNUMBER(SEARCH(",",D224)),"כן","לא")</f>
      </c>
      <c r="J224" s="3">
        <f>IF(OR(ISNUMBER(SEARCH(",",D224)),ISNUMBER(SEARCH("קבוצות",G224))),"כן","לא")</f>
      </c>
    </row>
    <row r="225" spans="2:10" x14ac:dyDescent="0.25">
      <c r="B225" s="11"/>
      <c r="C225" s="11"/>
      <c r="D225" s="11"/>
      <c r="E225" s="11"/>
      <c r="F225" s="11"/>
      <c r="G225" s="11"/>
      <c r="H225" s="3">
        <f>IF(OR(F225="",F225=0),"לא","כן")</f>
      </c>
      <c r="I225" s="3">
        <f>IF(ISNUMBER(SEARCH(",",D225)),"כן","לא")</f>
      </c>
      <c r="J225" s="3">
        <f>IF(OR(ISNUMBER(SEARCH(",",D225)),ISNUMBER(SEARCH("קבוצות",G225))),"כן","לא")</f>
      </c>
    </row>
    <row r="226" spans="2:10" x14ac:dyDescent="0.25">
      <c r="B226" s="11"/>
      <c r="C226" s="11"/>
      <c r="D226" s="11"/>
      <c r="E226" s="11"/>
      <c r="F226" s="11"/>
      <c r="G226" s="11"/>
      <c r="H226" s="3">
        <f>IF(OR(F226="",F226=0),"לא","כן")</f>
      </c>
      <c r="I226" s="3">
        <f>IF(ISNUMBER(SEARCH(",",D226)),"כן","לא")</f>
      </c>
      <c r="J226" s="3">
        <f>IF(OR(ISNUMBER(SEARCH(",",D226)),ISNUMBER(SEARCH("קבוצות",G226))),"כן","לא")</f>
      </c>
    </row>
    <row r="227" spans="2:10" x14ac:dyDescent="0.25">
      <c r="B227" s="11"/>
      <c r="C227" s="11"/>
      <c r="D227" s="11"/>
      <c r="E227" s="11"/>
      <c r="F227" s="11"/>
      <c r="G227" s="11"/>
      <c r="H227" s="3">
        <f>IF(OR(F227="",F227=0),"לא","כן")</f>
      </c>
      <c r="I227" s="3">
        <f>IF(ISNUMBER(SEARCH(",",D227)),"כן","לא")</f>
      </c>
      <c r="J227" s="3">
        <f>IF(OR(ISNUMBER(SEARCH(",",D227)),ISNUMBER(SEARCH("קבוצות",G227))),"כן","לא")</f>
      </c>
    </row>
    <row r="228" spans="2:10" x14ac:dyDescent="0.25">
      <c r="B228" s="11"/>
      <c r="C228" s="11"/>
      <c r="D228" s="11"/>
      <c r="E228" s="11"/>
      <c r="F228" s="11"/>
      <c r="G228" s="11"/>
      <c r="H228" s="3">
        <f>IF(OR(F228="",F228=0),"לא","כן")</f>
      </c>
      <c r="I228" s="3">
        <f>IF(ISNUMBER(SEARCH(",",D228)),"כן","לא")</f>
      </c>
      <c r="J228" s="3">
        <f>IF(OR(ISNUMBER(SEARCH(",",D228)),ISNUMBER(SEARCH("קבוצות",G228))),"כן","לא")</f>
      </c>
    </row>
    <row r="229" spans="2:10" x14ac:dyDescent="0.25">
      <c r="B229" s="11"/>
      <c r="C229" s="11"/>
      <c r="D229" s="11"/>
      <c r="E229" s="11"/>
      <c r="F229" s="11"/>
      <c r="G229" s="11"/>
      <c r="H229" s="3">
        <f>IF(OR(F229="",F229=0),"לא","כן")</f>
      </c>
      <c r="I229" s="3">
        <f>IF(ISNUMBER(SEARCH(",",D229)),"כן","לא")</f>
      </c>
      <c r="J229" s="3">
        <f>IF(OR(ISNUMBER(SEARCH(",",D229)),ISNUMBER(SEARCH("קבוצות",G229))),"כן","לא")</f>
      </c>
    </row>
    <row r="230" spans="2:10" x14ac:dyDescent="0.25">
      <c r="B230" s="11"/>
      <c r="C230" s="11"/>
      <c r="D230" s="11"/>
      <c r="E230" s="11"/>
      <c r="F230" s="11"/>
      <c r="G230" s="11"/>
      <c r="H230" s="3">
        <f>IF(OR(F230="",F230=0),"לא","כן")</f>
      </c>
      <c r="I230" s="3">
        <f>IF(ISNUMBER(SEARCH(",",D230)),"כן","לא")</f>
      </c>
      <c r="J230" s="3">
        <f>IF(OR(ISNUMBER(SEARCH(",",D230)),ISNUMBER(SEARCH("קבוצות",G230))),"כן","לא")</f>
      </c>
    </row>
    <row r="231" spans="2:10" x14ac:dyDescent="0.25">
      <c r="B231" s="11"/>
      <c r="C231" s="11"/>
      <c r="D231" s="11"/>
      <c r="E231" s="11"/>
      <c r="F231" s="11"/>
      <c r="G231" s="11"/>
      <c r="H231" s="3">
        <f>IF(OR(F231="",F231=0),"לא","כן")</f>
      </c>
      <c r="I231" s="3">
        <f>IF(ISNUMBER(SEARCH(",",D231)),"כן","לא")</f>
      </c>
      <c r="J231" s="3">
        <f>IF(OR(ISNUMBER(SEARCH(",",D231)),ISNUMBER(SEARCH("קבוצות",G231))),"כן","לא")</f>
      </c>
    </row>
    <row r="232" spans="2:10" x14ac:dyDescent="0.25">
      <c r="B232" s="11"/>
      <c r="C232" s="11"/>
      <c r="D232" s="11"/>
      <c r="E232" s="11"/>
      <c r="F232" s="11"/>
      <c r="G232" s="11"/>
      <c r="H232" s="3">
        <f>IF(OR(F232="",F232=0),"לא","כן")</f>
      </c>
      <c r="I232" s="3">
        <f>IF(ISNUMBER(SEARCH(",",D232)),"כן","לא")</f>
      </c>
      <c r="J232" s="3">
        <f>IF(OR(ISNUMBER(SEARCH(",",D232)),ISNUMBER(SEARCH("קבוצות",G232))),"כן","לא")</f>
      </c>
    </row>
    <row r="233" spans="2:10" x14ac:dyDescent="0.25">
      <c r="B233" s="11"/>
      <c r="C233" s="11"/>
      <c r="D233" s="11"/>
      <c r="E233" s="11"/>
      <c r="F233" s="11"/>
      <c r="G233" s="11"/>
      <c r="H233" s="3">
        <f>IF(OR(F233="",F233=0),"לא","כן")</f>
      </c>
      <c r="I233" s="3">
        <f>IF(ISNUMBER(SEARCH(",",D233)),"כן","לא")</f>
      </c>
      <c r="J233" s="3">
        <f>IF(OR(ISNUMBER(SEARCH(",",D233)),ISNUMBER(SEARCH("קבוצות",G233))),"כן","לא")</f>
      </c>
    </row>
    <row r="234" spans="2:10" x14ac:dyDescent="0.25">
      <c r="B234" s="11"/>
      <c r="C234" s="11"/>
      <c r="D234" s="11"/>
      <c r="E234" s="11"/>
      <c r="F234" s="11"/>
      <c r="G234" s="11"/>
      <c r="H234" s="3">
        <f>IF(OR(F234="",F234=0),"לא","כן")</f>
      </c>
      <c r="I234" s="3">
        <f>IF(ISNUMBER(SEARCH(",",D234)),"כן","לא")</f>
      </c>
      <c r="J234" s="3">
        <f>IF(OR(ISNUMBER(SEARCH(",",D234)),ISNUMBER(SEARCH("קבוצות",G234))),"כן","לא")</f>
      </c>
    </row>
    <row r="235" spans="2:10" x14ac:dyDescent="0.25">
      <c r="B235" s="11"/>
      <c r="C235" s="11"/>
      <c r="D235" s="11"/>
      <c r="E235" s="11"/>
      <c r="F235" s="11"/>
      <c r="G235" s="11"/>
      <c r="H235" s="3">
        <f>IF(OR(F235="",F235=0),"לא","כן")</f>
      </c>
      <c r="I235" s="3">
        <f>IF(ISNUMBER(SEARCH(",",D235)),"כן","לא")</f>
      </c>
      <c r="J235" s="3">
        <f>IF(OR(ISNUMBER(SEARCH(",",D235)),ISNUMBER(SEARCH("קבוצות",G235))),"כן","לא")</f>
      </c>
    </row>
    <row r="236" spans="2:10" x14ac:dyDescent="0.25">
      <c r="B236" s="11"/>
      <c r="C236" s="11"/>
      <c r="D236" s="11"/>
      <c r="E236" s="11"/>
      <c r="F236" s="11"/>
      <c r="G236" s="11"/>
      <c r="H236" s="3">
        <f>IF(OR(F236="",F236=0),"לא","כן")</f>
      </c>
      <c r="I236" s="3">
        <f>IF(ISNUMBER(SEARCH(",",D236)),"כן","לא")</f>
      </c>
      <c r="J236" s="3">
        <f>IF(OR(ISNUMBER(SEARCH(",",D236)),ISNUMBER(SEARCH("קבוצות",G236))),"כן","לא")</f>
      </c>
    </row>
    <row r="237" spans="2:10" x14ac:dyDescent="0.25">
      <c r="B237" s="11"/>
      <c r="C237" s="11"/>
      <c r="D237" s="11"/>
      <c r="E237" s="11"/>
      <c r="F237" s="11"/>
      <c r="G237" s="11"/>
      <c r="H237" s="3">
        <f>IF(OR(F237="",F237=0),"לא","כן")</f>
      </c>
      <c r="I237" s="3">
        <f>IF(ISNUMBER(SEARCH(",",D237)),"כן","לא")</f>
      </c>
      <c r="J237" s="3">
        <f>IF(OR(ISNUMBER(SEARCH(",",D237)),ISNUMBER(SEARCH("קבוצות",G237))),"כן","לא")</f>
      </c>
    </row>
    <row r="238" spans="2:10" x14ac:dyDescent="0.25">
      <c r="B238" s="11"/>
      <c r="C238" s="11"/>
      <c r="D238" s="11"/>
      <c r="E238" s="11"/>
      <c r="F238" s="11"/>
      <c r="G238" s="11"/>
      <c r="H238" s="3">
        <f>IF(OR(F238="",F238=0),"לא","כן")</f>
      </c>
      <c r="I238" s="3">
        <f>IF(ISNUMBER(SEARCH(",",D238)),"כן","לא")</f>
      </c>
      <c r="J238" s="3">
        <f>IF(OR(ISNUMBER(SEARCH(",",D238)),ISNUMBER(SEARCH("קבוצות",G238))),"כן","לא")</f>
      </c>
    </row>
    <row r="239" spans="2:10" x14ac:dyDescent="0.25">
      <c r="B239" s="11"/>
      <c r="C239" s="11"/>
      <c r="D239" s="11"/>
      <c r="E239" s="11"/>
      <c r="F239" s="11"/>
      <c r="G239" s="11"/>
      <c r="H239" s="3">
        <f>IF(OR(F239="",F239=0),"לא","כן")</f>
      </c>
      <c r="I239" s="3">
        <f>IF(ISNUMBER(SEARCH(",",D239)),"כן","לא")</f>
      </c>
      <c r="J239" s="3">
        <f>IF(OR(ISNUMBER(SEARCH(",",D239)),ISNUMBER(SEARCH("קבוצות",G239))),"כן","לא")</f>
      </c>
    </row>
    <row r="240" spans="2:10" x14ac:dyDescent="0.25">
      <c r="B240" s="11"/>
      <c r="C240" s="11"/>
      <c r="D240" s="11"/>
      <c r="E240" s="11"/>
      <c r="F240" s="11"/>
      <c r="G240" s="11"/>
      <c r="H240" s="3">
        <f>IF(OR(F240="",F240=0),"לא","כן")</f>
      </c>
      <c r="I240" s="3">
        <f>IF(ISNUMBER(SEARCH(",",D240)),"כן","לא")</f>
      </c>
      <c r="J240" s="3">
        <f>IF(OR(ISNUMBER(SEARCH(",",D240)),ISNUMBER(SEARCH("קבוצות",G240))),"כן","לא")</f>
      </c>
    </row>
    <row r="241" spans="2:10" x14ac:dyDescent="0.25">
      <c r="B241" s="11"/>
      <c r="C241" s="11"/>
      <c r="D241" s="11"/>
      <c r="E241" s="11"/>
      <c r="F241" s="11"/>
      <c r="G241" s="11"/>
      <c r="H241" s="3">
        <f>IF(OR(F241="",F241=0),"לא","כן")</f>
      </c>
      <c r="I241" s="3">
        <f>IF(ISNUMBER(SEARCH(",",D241)),"כן","לא")</f>
      </c>
      <c r="J241" s="3">
        <f>IF(OR(ISNUMBER(SEARCH(",",D241)),ISNUMBER(SEARCH("קבוצות",G241))),"כן","לא")</f>
      </c>
    </row>
    <row r="242" spans="2:10" x14ac:dyDescent="0.25">
      <c r="B242" s="11"/>
      <c r="C242" s="11"/>
      <c r="D242" s="11"/>
      <c r="E242" s="11"/>
      <c r="F242" s="11"/>
      <c r="G242" s="11"/>
      <c r="H242" s="3">
        <f>IF(OR(F242="",F242=0),"לא","כן")</f>
      </c>
      <c r="I242" s="3">
        <f>IF(ISNUMBER(SEARCH(",",D242)),"כן","לא")</f>
      </c>
      <c r="J242" s="3">
        <f>IF(OR(ISNUMBER(SEARCH(",",D242)),ISNUMBER(SEARCH("קבוצות",G242))),"כן","לא")</f>
      </c>
    </row>
    <row r="243" spans="2:10" x14ac:dyDescent="0.25">
      <c r="B243" s="11"/>
      <c r="C243" s="11"/>
      <c r="D243" s="11"/>
      <c r="E243" s="11"/>
      <c r="F243" s="11"/>
      <c r="G243" s="11"/>
      <c r="H243" s="3">
        <f>IF(OR(F243="",F243=0),"לא","כן")</f>
      </c>
      <c r="I243" s="3">
        <f>IF(ISNUMBER(SEARCH(",",D243)),"כן","לא")</f>
      </c>
      <c r="J243" s="3">
        <f>IF(OR(ISNUMBER(SEARCH(",",D243)),ISNUMBER(SEARCH("קבוצות",G243))),"כן","לא")</f>
      </c>
    </row>
    <row r="244" spans="2:10" x14ac:dyDescent="0.25">
      <c r="B244" s="11"/>
      <c r="C244" s="11"/>
      <c r="D244" s="11"/>
      <c r="E244" s="11"/>
      <c r="F244" s="11"/>
      <c r="G244" s="11"/>
      <c r="H244" s="3">
        <f>IF(OR(F244="",F244=0),"לא","כן")</f>
      </c>
      <c r="I244" s="3">
        <f>IF(ISNUMBER(SEARCH(",",D244)),"כן","לא")</f>
      </c>
      <c r="J244" s="3">
        <f>IF(OR(ISNUMBER(SEARCH(",",D244)),ISNUMBER(SEARCH("קבוצות",G244))),"כן","לא")</f>
      </c>
    </row>
    <row r="245" spans="2:10" x14ac:dyDescent="0.25">
      <c r="B245" s="11"/>
      <c r="C245" s="11"/>
      <c r="D245" s="11"/>
      <c r="E245" s="11"/>
      <c r="F245" s="11"/>
      <c r="G245" s="11"/>
      <c r="H245" s="3">
        <f>IF(OR(F245="",F245=0),"לא","כן")</f>
      </c>
      <c r="I245" s="3">
        <f>IF(ISNUMBER(SEARCH(",",D245)),"כן","לא")</f>
      </c>
      <c r="J245" s="3">
        <f>IF(OR(ISNUMBER(SEARCH(",",D245)),ISNUMBER(SEARCH("קבוצות",G245))),"כן","לא")</f>
      </c>
    </row>
    <row r="246" spans="2:10" x14ac:dyDescent="0.25">
      <c r="B246" s="11"/>
      <c r="C246" s="11"/>
      <c r="D246" s="11"/>
      <c r="E246" s="11"/>
      <c r="F246" s="11"/>
      <c r="G246" s="11"/>
      <c r="H246" s="3">
        <f>IF(OR(F246="",F246=0),"לא","כן")</f>
      </c>
      <c r="I246" s="3">
        <f>IF(ISNUMBER(SEARCH(",",D246)),"כן","לא")</f>
      </c>
      <c r="J246" s="3">
        <f>IF(OR(ISNUMBER(SEARCH(",",D246)),ISNUMBER(SEARCH("קבוצות",G246))),"כן","לא")</f>
      </c>
    </row>
    <row r="247" spans="2:10" x14ac:dyDescent="0.25">
      <c r="B247" s="11"/>
      <c r="C247" s="11"/>
      <c r="D247" s="11"/>
      <c r="E247" s="11"/>
      <c r="F247" s="11"/>
      <c r="G247" s="11"/>
      <c r="H247" s="3">
        <f>IF(OR(F247="",F247=0),"לא","כן")</f>
      </c>
      <c r="I247" s="3">
        <f>IF(ISNUMBER(SEARCH(",",D247)),"כן","לא")</f>
      </c>
      <c r="J247" s="3">
        <f>IF(OR(ISNUMBER(SEARCH(",",D247)),ISNUMBER(SEARCH("קבוצות",G247))),"כן","לא")</f>
      </c>
    </row>
    <row r="248" spans="2:10" x14ac:dyDescent="0.25">
      <c r="B248" s="11"/>
      <c r="C248" s="11"/>
      <c r="D248" s="11"/>
      <c r="E248" s="11"/>
      <c r="F248" s="11"/>
      <c r="G248" s="11"/>
      <c r="H248" s="3">
        <f>IF(OR(F248="",F248=0),"לא","כן")</f>
      </c>
      <c r="I248" s="3">
        <f>IF(ISNUMBER(SEARCH(",",D248)),"כן","לא")</f>
      </c>
      <c r="J248" s="3">
        <f>IF(OR(ISNUMBER(SEARCH(",",D248)),ISNUMBER(SEARCH("קבוצות",G248))),"כן","לא")</f>
      </c>
    </row>
    <row r="249" spans="2:10" x14ac:dyDescent="0.25">
      <c r="B249" s="11"/>
      <c r="C249" s="11"/>
      <c r="D249" s="11"/>
      <c r="E249" s="11"/>
      <c r="F249" s="11"/>
      <c r="G249" s="11"/>
      <c r="H249" s="3">
        <f>IF(OR(F249="",F249=0),"לא","כן")</f>
      </c>
      <c r="I249" s="3">
        <f>IF(ISNUMBER(SEARCH(",",D249)),"כן","לא")</f>
      </c>
      <c r="J249" s="3">
        <f>IF(OR(ISNUMBER(SEARCH(",",D249)),ISNUMBER(SEARCH("קבוצות",G249))),"כן","לא")</f>
      </c>
    </row>
    <row r="250" spans="2:10" x14ac:dyDescent="0.25">
      <c r="B250" s="11"/>
      <c r="C250" s="11"/>
      <c r="D250" s="11"/>
      <c r="E250" s="11"/>
      <c r="F250" s="11"/>
      <c r="G250" s="11"/>
      <c r="H250" s="3">
        <f>IF(OR(F250="",F250=0),"לא","כן")</f>
      </c>
      <c r="I250" s="3">
        <f>IF(ISNUMBER(SEARCH(",",D250)),"כן","לא")</f>
      </c>
      <c r="J250" s="3">
        <f>IF(OR(ISNUMBER(SEARCH(",",D250)),ISNUMBER(SEARCH("קבוצות",G250))),"כן","לא")</f>
      </c>
    </row>
    <row r="251" spans="2:10" x14ac:dyDescent="0.25">
      <c r="B251" s="11"/>
      <c r="C251" s="11"/>
      <c r="D251" s="11"/>
      <c r="E251" s="11"/>
      <c r="F251" s="11"/>
      <c r="G251" s="11"/>
      <c r="H251" s="3">
        <f>IF(OR(F251="",F251=0),"לא","כן")</f>
      </c>
      <c r="I251" s="3">
        <f>IF(ISNUMBER(SEARCH(",",D251)),"כן","לא")</f>
      </c>
      <c r="J251" s="3">
        <f>IF(OR(ISNUMBER(SEARCH(",",D251)),ISNUMBER(SEARCH("קבוצות",G251))),"כן","לא")</f>
      </c>
    </row>
    <row r="252" spans="2:10" x14ac:dyDescent="0.25">
      <c r="B252" s="11"/>
      <c r="C252" s="11"/>
      <c r="D252" s="11"/>
      <c r="E252" s="11"/>
      <c r="F252" s="11"/>
      <c r="G252" s="11"/>
      <c r="H252" s="3">
        <f>IF(OR(F252="",F252=0),"לא","כן")</f>
      </c>
      <c r="I252" s="3">
        <f>IF(ISNUMBER(SEARCH(",",D252)),"כן","לא")</f>
      </c>
      <c r="J252" s="3">
        <f>IF(OR(ISNUMBER(SEARCH(",",D252)),ISNUMBER(SEARCH("קבוצות",G252))),"כן","לא")</f>
      </c>
    </row>
    <row r="253" spans="2:10" x14ac:dyDescent="0.25">
      <c r="B253" s="11"/>
      <c r="C253" s="11"/>
      <c r="D253" s="11"/>
      <c r="E253" s="11"/>
      <c r="F253" s="11"/>
      <c r="G253" s="11"/>
      <c r="H253" s="3">
        <f>IF(OR(F253="",F253=0),"לא","כן")</f>
      </c>
      <c r="I253" s="3">
        <f>IF(ISNUMBER(SEARCH(",",D253)),"כן","לא")</f>
      </c>
      <c r="J253" s="3">
        <f>IF(OR(ISNUMBER(SEARCH(",",D253)),ISNUMBER(SEARCH("קבוצות",G253))),"כן","לא")</f>
      </c>
    </row>
    <row r="254" spans="2:10" x14ac:dyDescent="0.25">
      <c r="B254" s="11"/>
      <c r="C254" s="11"/>
      <c r="D254" s="11"/>
      <c r="E254" s="11"/>
      <c r="F254" s="11"/>
      <c r="G254" s="11"/>
      <c r="H254" s="3">
        <f>IF(OR(F254="",F254=0),"לא","כן")</f>
      </c>
      <c r="I254" s="3">
        <f>IF(ISNUMBER(SEARCH(",",D254)),"כן","לא")</f>
      </c>
      <c r="J254" s="3">
        <f>IF(OR(ISNUMBER(SEARCH(",",D254)),ISNUMBER(SEARCH("קבוצות",G254))),"כן","לא")</f>
      </c>
    </row>
    <row r="255" spans="2:10" x14ac:dyDescent="0.25">
      <c r="B255" s="11"/>
      <c r="C255" s="11"/>
      <c r="D255" s="11"/>
      <c r="E255" s="11"/>
      <c r="F255" s="11"/>
      <c r="G255" s="11"/>
      <c r="H255" s="3">
        <f>IF(OR(F255="",F255=0),"לא","כן")</f>
      </c>
      <c r="I255" s="3">
        <f>IF(ISNUMBER(SEARCH(",",D255)),"כן","לא")</f>
      </c>
      <c r="J255" s="3">
        <f>IF(OR(ISNUMBER(SEARCH(",",D255)),ISNUMBER(SEARCH("קבוצות",G255))),"כן","לא")</f>
      </c>
    </row>
    <row r="256" spans="2:10" x14ac:dyDescent="0.25">
      <c r="B256" s="11"/>
      <c r="C256" s="11"/>
      <c r="D256" s="11"/>
      <c r="E256" s="11"/>
      <c r="F256" s="11"/>
      <c r="G256" s="11"/>
      <c r="H256" s="3">
        <f>IF(OR(F256="",F256=0),"לא","כן")</f>
      </c>
      <c r="I256" s="3">
        <f>IF(ISNUMBER(SEARCH(",",D256)),"כן","לא")</f>
      </c>
      <c r="J256" s="3">
        <f>IF(OR(ISNUMBER(SEARCH(",",D256)),ISNUMBER(SEARCH("קבוצות",G256))),"כן","לא")</f>
      </c>
    </row>
    <row r="257" spans="2:10" x14ac:dyDescent="0.25">
      <c r="B257" s="11"/>
      <c r="C257" s="11"/>
      <c r="D257" s="11"/>
      <c r="E257" s="11"/>
      <c r="F257" s="11"/>
      <c r="G257" s="11"/>
      <c r="H257" s="3">
        <f>IF(OR(F257="",F257=0),"לא","כן")</f>
      </c>
      <c r="I257" s="3">
        <f>IF(ISNUMBER(SEARCH(",",D257)),"כן","לא")</f>
      </c>
      <c r="J257" s="3">
        <f>IF(OR(ISNUMBER(SEARCH(",",D257)),ISNUMBER(SEARCH("קבוצות",G257))),"כן","לא")</f>
      </c>
    </row>
    <row r="258" spans="2:10" x14ac:dyDescent="0.25">
      <c r="B258" s="11"/>
      <c r="C258" s="11"/>
      <c r="D258" s="11"/>
      <c r="E258" s="11"/>
      <c r="F258" s="11"/>
      <c r="G258" s="11"/>
      <c r="H258" s="3">
        <f>IF(OR(F258="",F258=0),"לא","כן")</f>
      </c>
      <c r="I258" s="3">
        <f>IF(ISNUMBER(SEARCH(",",D258)),"כן","לא")</f>
      </c>
      <c r="J258" s="3">
        <f>IF(OR(ISNUMBER(SEARCH(",",D258)),ISNUMBER(SEARCH("קבוצות",G258))),"כן","לא")</f>
      </c>
    </row>
    <row r="259" spans="2:10" x14ac:dyDescent="0.25">
      <c r="B259" s="11"/>
      <c r="C259" s="11"/>
      <c r="D259" s="11"/>
      <c r="E259" s="11"/>
      <c r="F259" s="11"/>
      <c r="G259" s="11"/>
      <c r="H259" s="3">
        <f>IF(OR(F259="",F259=0),"לא","כן")</f>
      </c>
      <c r="I259" s="3">
        <f>IF(ISNUMBER(SEARCH(",",D259)),"כן","לא")</f>
      </c>
      <c r="J259" s="3">
        <f>IF(OR(ISNUMBER(SEARCH(",",D259)),ISNUMBER(SEARCH("קבוצות",G259))),"כן","לא")</f>
      </c>
    </row>
    <row r="260" spans="2:10" x14ac:dyDescent="0.25">
      <c r="B260" s="11"/>
      <c r="C260" s="11"/>
      <c r="D260" s="11"/>
      <c r="E260" s="11"/>
      <c r="F260" s="11"/>
      <c r="G260" s="11"/>
      <c r="H260" s="3">
        <f>IF(OR(F260="",F260=0),"לא","כן")</f>
      </c>
      <c r="I260" s="3">
        <f>IF(ISNUMBER(SEARCH(",",D260)),"כן","לא")</f>
      </c>
      <c r="J260" s="3">
        <f>IF(OR(ISNUMBER(SEARCH(",",D260)),ISNUMBER(SEARCH("קבוצות",G260))),"כן","לא")</f>
      </c>
    </row>
    <row r="261" spans="2:10" x14ac:dyDescent="0.25">
      <c r="B261" s="11"/>
      <c r="C261" s="11"/>
      <c r="D261" s="11"/>
      <c r="E261" s="11"/>
      <c r="F261" s="11"/>
      <c r="G261" s="11"/>
      <c r="H261" s="3">
        <f>IF(OR(F261="",F261=0),"לא","כן")</f>
      </c>
      <c r="I261" s="3">
        <f>IF(ISNUMBER(SEARCH(",",D261)),"כן","לא")</f>
      </c>
      <c r="J261" s="3">
        <f>IF(OR(ISNUMBER(SEARCH(",",D261)),ISNUMBER(SEARCH("קבוצות",G261))),"כן","לא")</f>
      </c>
    </row>
    <row r="262" spans="2:10" x14ac:dyDescent="0.25">
      <c r="B262" s="11"/>
      <c r="C262" s="11"/>
      <c r="D262" s="11"/>
      <c r="E262" s="11"/>
      <c r="F262" s="11"/>
      <c r="G262" s="11"/>
      <c r="H262" s="3">
        <f>IF(OR(F262="",F262=0),"לא","כן")</f>
      </c>
      <c r="I262" s="3">
        <f>IF(ISNUMBER(SEARCH(",",D262)),"כן","לא")</f>
      </c>
      <c r="J262" s="3">
        <f>IF(OR(ISNUMBER(SEARCH(",",D262)),ISNUMBER(SEARCH("קבוצות",G262))),"כן","לא")</f>
      </c>
    </row>
    <row r="263" spans="2:10" x14ac:dyDescent="0.25">
      <c r="B263" s="11"/>
      <c r="C263" s="11"/>
      <c r="D263" s="11"/>
      <c r="E263" s="11"/>
      <c r="F263" s="11"/>
      <c r="G263" s="11"/>
      <c r="H263" s="3">
        <f>IF(OR(F263="",F263=0),"לא","כן")</f>
      </c>
      <c r="I263" s="3">
        <f>IF(ISNUMBER(SEARCH(",",D263)),"כן","לא")</f>
      </c>
      <c r="J263" s="3">
        <f>IF(OR(ISNUMBER(SEARCH(",",D263)),ISNUMBER(SEARCH("קבוצות",G263))),"כן","לא")</f>
      </c>
    </row>
    <row r="264" spans="2:10" x14ac:dyDescent="0.25">
      <c r="B264" s="11"/>
      <c r="C264" s="11"/>
      <c r="D264" s="11"/>
      <c r="E264" s="11"/>
      <c r="F264" s="11"/>
      <c r="G264" s="11"/>
      <c r="H264" s="3">
        <f>IF(OR(F264="",F264=0),"לא","כן")</f>
      </c>
      <c r="I264" s="3">
        <f>IF(ISNUMBER(SEARCH(",",D264)),"כן","לא")</f>
      </c>
      <c r="J264" s="3">
        <f>IF(OR(ISNUMBER(SEARCH(",",D264)),ISNUMBER(SEARCH("קבוצות",G264))),"כן","לא")</f>
      </c>
    </row>
    <row r="265" spans="2:10" x14ac:dyDescent="0.25">
      <c r="B265" s="11"/>
      <c r="C265" s="11"/>
      <c r="D265" s="11"/>
      <c r="E265" s="11"/>
      <c r="F265" s="11"/>
      <c r="G265" s="11"/>
      <c r="H265" s="3">
        <f>IF(OR(F265="",F265=0),"לא","כן")</f>
      </c>
      <c r="I265" s="3">
        <f>IF(ISNUMBER(SEARCH(",",D265)),"כן","לא")</f>
      </c>
      <c r="J265" s="3">
        <f>IF(OR(ISNUMBER(SEARCH(",",D265)),ISNUMBER(SEARCH("קבוצות",G265))),"כן","לא")</f>
      </c>
    </row>
    <row r="266" spans="2:10" x14ac:dyDescent="0.25">
      <c r="B266" s="11"/>
      <c r="C266" s="11"/>
      <c r="D266" s="11"/>
      <c r="E266" s="11"/>
      <c r="F266" s="11"/>
      <c r="G266" s="11"/>
      <c r="H266" s="3">
        <f>IF(OR(F266="",F266=0),"לא","כן")</f>
      </c>
      <c r="I266" s="3">
        <f>IF(ISNUMBER(SEARCH(",",D266)),"כן","לא")</f>
      </c>
      <c r="J266" s="3">
        <f>IF(OR(ISNUMBER(SEARCH(",",D266)),ISNUMBER(SEARCH("קבוצות",G266))),"כן","לא")</f>
      </c>
    </row>
    <row r="267" spans="2:10" x14ac:dyDescent="0.25">
      <c r="B267" s="11"/>
      <c r="C267" s="11"/>
      <c r="D267" s="11"/>
      <c r="E267" s="11"/>
      <c r="F267" s="11"/>
      <c r="G267" s="11"/>
      <c r="H267" s="3">
        <f>IF(OR(F267="",F267=0),"לא","כן")</f>
      </c>
      <c r="I267" s="3">
        <f>IF(ISNUMBER(SEARCH(",",D267)),"כן","לא")</f>
      </c>
      <c r="J267" s="3">
        <f>IF(OR(ISNUMBER(SEARCH(",",D267)),ISNUMBER(SEARCH("קבוצות",G267))),"כן","לא")</f>
      </c>
    </row>
    <row r="268" spans="2:10" x14ac:dyDescent="0.25">
      <c r="B268" s="11"/>
      <c r="C268" s="11"/>
      <c r="D268" s="11"/>
      <c r="E268" s="11"/>
      <c r="F268" s="11"/>
      <c r="G268" s="11"/>
      <c r="H268" s="3">
        <f>IF(OR(F268="",F268=0),"לא","כן")</f>
      </c>
      <c r="I268" s="3">
        <f>IF(ISNUMBER(SEARCH(",",D268)),"כן","לא")</f>
      </c>
      <c r="J268" s="3">
        <f>IF(OR(ISNUMBER(SEARCH(",",D268)),ISNUMBER(SEARCH("קבוצות",G268))),"כן","לא")</f>
      </c>
    </row>
    <row r="269" spans="2:10" x14ac:dyDescent="0.25">
      <c r="B269" s="11"/>
      <c r="C269" s="11"/>
      <c r="D269" s="11"/>
      <c r="E269" s="11"/>
      <c r="F269" s="11"/>
      <c r="G269" s="11"/>
      <c r="H269" s="3">
        <f>IF(OR(F269="",F269=0),"לא","כן")</f>
      </c>
      <c r="I269" s="3">
        <f>IF(ISNUMBER(SEARCH(",",D269)),"כן","לא")</f>
      </c>
      <c r="J269" s="3">
        <f>IF(OR(ISNUMBER(SEARCH(",",D269)),ISNUMBER(SEARCH("קבוצות",G269))),"כן","לא")</f>
      </c>
    </row>
    <row r="270" spans="2:10" x14ac:dyDescent="0.25">
      <c r="B270" s="11"/>
      <c r="C270" s="11"/>
      <c r="D270" s="11"/>
      <c r="E270" s="11"/>
      <c r="F270" s="11"/>
      <c r="G270" s="11"/>
      <c r="H270" s="3">
        <f>IF(OR(F270="",F270=0),"לא","כן")</f>
      </c>
      <c r="I270" s="3">
        <f>IF(ISNUMBER(SEARCH(",",D270)),"כן","לא")</f>
      </c>
      <c r="J270" s="3">
        <f>IF(OR(ISNUMBER(SEARCH(",",D270)),ISNUMBER(SEARCH("קבוצות",G270))),"כן","לא")</f>
      </c>
    </row>
    <row r="271" spans="2:10" x14ac:dyDescent="0.25">
      <c r="B271" s="11"/>
      <c r="C271" s="11"/>
      <c r="D271" s="11"/>
      <c r="E271" s="11"/>
      <c r="F271" s="11"/>
      <c r="G271" s="11"/>
      <c r="H271" s="3">
        <f>IF(OR(F271="",F271=0),"לא","כן")</f>
      </c>
      <c r="I271" s="3">
        <f>IF(ISNUMBER(SEARCH(",",D271)),"כן","לא")</f>
      </c>
      <c r="J271" s="3">
        <f>IF(OR(ISNUMBER(SEARCH(",",D271)),ISNUMBER(SEARCH("קבוצות",G271))),"כן","לא")</f>
      </c>
    </row>
    <row r="272" spans="2:10" x14ac:dyDescent="0.25">
      <c r="B272" s="11"/>
      <c r="C272" s="11"/>
      <c r="D272" s="11"/>
      <c r="E272" s="11"/>
      <c r="F272" s="11"/>
      <c r="G272" s="11"/>
      <c r="H272" s="3">
        <f>IF(OR(F272="",F272=0),"לא","כן")</f>
      </c>
      <c r="I272" s="3">
        <f>IF(ISNUMBER(SEARCH(",",D272)),"כן","לא")</f>
      </c>
      <c r="J272" s="3">
        <f>IF(OR(ISNUMBER(SEARCH(",",D272)),ISNUMBER(SEARCH("קבוצות",G272))),"כן","לא")</f>
      </c>
    </row>
    <row r="273" spans="2:10" x14ac:dyDescent="0.25">
      <c r="B273" s="11"/>
      <c r="C273" s="11"/>
      <c r="D273" s="11"/>
      <c r="E273" s="11"/>
      <c r="F273" s="11"/>
      <c r="G273" s="11"/>
      <c r="H273" s="3">
        <f>IF(OR(F273="",F273=0),"לא","כן")</f>
      </c>
      <c r="I273" s="3">
        <f>IF(ISNUMBER(SEARCH(",",D273)),"כן","לא")</f>
      </c>
      <c r="J273" s="3">
        <f>IF(OR(ISNUMBER(SEARCH(",",D273)),ISNUMBER(SEARCH("קבוצות",G273))),"כן","לא")</f>
      </c>
    </row>
    <row r="274" spans="2:10" x14ac:dyDescent="0.25">
      <c r="B274" s="11"/>
      <c r="C274" s="11"/>
      <c r="D274" s="11"/>
      <c r="E274" s="11"/>
      <c r="F274" s="11"/>
      <c r="G274" s="11"/>
      <c r="H274" s="3">
        <f>IF(OR(F274="",F274=0),"לא","כן")</f>
      </c>
      <c r="I274" s="3">
        <f>IF(ISNUMBER(SEARCH(",",D274)),"כן","לא")</f>
      </c>
      <c r="J274" s="3">
        <f>IF(OR(ISNUMBER(SEARCH(",",D274)),ISNUMBER(SEARCH("קבוצות",G274))),"כן","לא")</f>
      </c>
    </row>
    <row r="275" spans="2:10" x14ac:dyDescent="0.25">
      <c r="B275" s="11"/>
      <c r="C275" s="11"/>
      <c r="D275" s="11"/>
      <c r="E275" s="11"/>
      <c r="F275" s="11"/>
      <c r="G275" s="11"/>
      <c r="H275" s="3">
        <f>IF(OR(F275="",F275=0),"לא","כן")</f>
      </c>
      <c r="I275" s="3">
        <f>IF(ISNUMBER(SEARCH(",",D275)),"כן","לא")</f>
      </c>
      <c r="J275" s="3">
        <f>IF(OR(ISNUMBER(SEARCH(",",D275)),ISNUMBER(SEARCH("קבוצות",G275))),"כן","לא")</f>
      </c>
    </row>
    <row r="276" spans="2:10" x14ac:dyDescent="0.25">
      <c r="B276" s="11"/>
      <c r="C276" s="11"/>
      <c r="D276" s="11"/>
      <c r="E276" s="11"/>
      <c r="F276" s="11"/>
      <c r="G276" s="11"/>
      <c r="H276" s="3">
        <f>IF(OR(F276="",F276=0),"לא","כן")</f>
      </c>
      <c r="I276" s="3">
        <f>IF(ISNUMBER(SEARCH(",",D276)),"כן","לא")</f>
      </c>
      <c r="J276" s="3">
        <f>IF(OR(ISNUMBER(SEARCH(",",D276)),ISNUMBER(SEARCH("קבוצות",G276))),"כן","לא")</f>
      </c>
    </row>
    <row r="277" spans="2:10" x14ac:dyDescent="0.25">
      <c r="B277" s="11"/>
      <c r="C277" s="11"/>
      <c r="D277" s="11"/>
      <c r="E277" s="11"/>
      <c r="F277" s="11"/>
      <c r="G277" s="11"/>
      <c r="H277" s="3">
        <f>IF(OR(F277="",F277=0),"לא","כן")</f>
      </c>
      <c r="I277" s="3">
        <f>IF(ISNUMBER(SEARCH(",",D277)),"כן","לא")</f>
      </c>
      <c r="J277" s="3">
        <f>IF(OR(ISNUMBER(SEARCH(",",D277)),ISNUMBER(SEARCH("קבוצות",G277))),"כן","לא")</f>
      </c>
    </row>
    <row r="278" spans="2:10" x14ac:dyDescent="0.25">
      <c r="B278" s="11"/>
      <c r="C278" s="11"/>
      <c r="D278" s="11"/>
      <c r="E278" s="11"/>
      <c r="F278" s="11"/>
      <c r="G278" s="11"/>
      <c r="H278" s="3">
        <f>IF(OR(F278="",F278=0),"לא","כן")</f>
      </c>
      <c r="I278" s="3">
        <f>IF(ISNUMBER(SEARCH(",",D278)),"כן","לא")</f>
      </c>
      <c r="J278" s="3">
        <f>IF(OR(ISNUMBER(SEARCH(",",D278)),ISNUMBER(SEARCH("קבוצות",G278))),"כן","לא")</f>
      </c>
    </row>
    <row r="279" spans="2:10" x14ac:dyDescent="0.25">
      <c r="B279" s="11"/>
      <c r="C279" s="11"/>
      <c r="D279" s="11"/>
      <c r="E279" s="11"/>
      <c r="F279" s="11"/>
      <c r="G279" s="11"/>
      <c r="H279" s="3">
        <f>IF(OR(F279="",F279=0),"לא","כן")</f>
      </c>
      <c r="I279" s="3">
        <f>IF(ISNUMBER(SEARCH(",",D279)),"כן","לא")</f>
      </c>
      <c r="J279" s="3">
        <f>IF(OR(ISNUMBER(SEARCH(",",D279)),ISNUMBER(SEARCH("קבוצות",G279))),"כן","לא")</f>
      </c>
    </row>
    <row r="280" spans="2:10" x14ac:dyDescent="0.25">
      <c r="B280" s="11"/>
      <c r="C280" s="11"/>
      <c r="D280" s="11"/>
      <c r="E280" s="11"/>
      <c r="F280" s="11"/>
      <c r="G280" s="11"/>
      <c r="H280" s="3">
        <f>IF(OR(F280="",F280=0),"לא","כן")</f>
      </c>
      <c r="I280" s="3">
        <f>IF(ISNUMBER(SEARCH(",",D280)),"כן","לא")</f>
      </c>
      <c r="J280" s="3">
        <f>IF(OR(ISNUMBER(SEARCH(",",D280)),ISNUMBER(SEARCH("קבוצות",G280))),"כן","לא")</f>
      </c>
    </row>
    <row r="281" spans="2:10" x14ac:dyDescent="0.25">
      <c r="B281" s="11"/>
      <c r="C281" s="11"/>
      <c r="D281" s="11"/>
      <c r="E281" s="11"/>
      <c r="F281" s="11"/>
      <c r="G281" s="11"/>
      <c r="H281" s="3">
        <f>IF(OR(F281="",F281=0),"לא","כן")</f>
      </c>
      <c r="I281" s="3">
        <f>IF(ISNUMBER(SEARCH(",",D281)),"כן","לא")</f>
      </c>
      <c r="J281" s="3">
        <f>IF(OR(ISNUMBER(SEARCH(",",D281)),ISNUMBER(SEARCH("קבוצות",G281))),"כן","לא")</f>
      </c>
    </row>
    <row r="282" spans="2:10" x14ac:dyDescent="0.25">
      <c r="B282" s="11"/>
      <c r="C282" s="11"/>
      <c r="D282" s="11"/>
      <c r="E282" s="11"/>
      <c r="F282" s="11"/>
      <c r="G282" s="11"/>
      <c r="H282" s="3">
        <f>IF(OR(F282="",F282=0),"לא","כן")</f>
      </c>
      <c r="I282" s="3">
        <f>IF(ISNUMBER(SEARCH(",",D282)),"כן","לא")</f>
      </c>
      <c r="J282" s="3">
        <f>IF(OR(ISNUMBER(SEARCH(",",D282)),ISNUMBER(SEARCH("קבוצות",G282))),"כן","לא")</f>
      </c>
    </row>
    <row r="283" spans="2:10" x14ac:dyDescent="0.25">
      <c r="B283" s="11"/>
      <c r="C283" s="11"/>
      <c r="D283" s="11"/>
      <c r="E283" s="11"/>
      <c r="F283" s="11"/>
      <c r="G283" s="11"/>
      <c r="H283" s="3">
        <f>IF(OR(F283="",F283=0),"לא","כן")</f>
      </c>
      <c r="I283" s="3">
        <f>IF(ISNUMBER(SEARCH(",",D283)),"כן","לא")</f>
      </c>
      <c r="J283" s="3">
        <f>IF(OR(ISNUMBER(SEARCH(",",D283)),ISNUMBER(SEARCH("קבוצות",G283))),"כן","לא")</f>
      </c>
    </row>
    <row r="284" spans="2:10" x14ac:dyDescent="0.25">
      <c r="B284" s="11"/>
      <c r="C284" s="11"/>
      <c r="D284" s="11"/>
      <c r="E284" s="11"/>
      <c r="F284" s="11"/>
      <c r="G284" s="11"/>
      <c r="H284" s="3">
        <f>IF(OR(F284="",F284=0),"לא","כן")</f>
      </c>
      <c r="I284" s="3">
        <f>IF(ISNUMBER(SEARCH(",",D284)),"כן","לא")</f>
      </c>
      <c r="J284" s="3">
        <f>IF(OR(ISNUMBER(SEARCH(",",D284)),ISNUMBER(SEARCH("קבוצות",G284))),"כן","לא")</f>
      </c>
    </row>
    <row r="285" spans="2:10" x14ac:dyDescent="0.25">
      <c r="B285" s="11"/>
      <c r="C285" s="11"/>
      <c r="D285" s="11"/>
      <c r="E285" s="11"/>
      <c r="F285" s="11"/>
      <c r="G285" s="11"/>
      <c r="H285" s="3">
        <f>IF(OR(F285="",F285=0),"לא","כן")</f>
      </c>
      <c r="I285" s="3">
        <f>IF(ISNUMBER(SEARCH(",",D285)),"כן","לא")</f>
      </c>
      <c r="J285" s="3">
        <f>IF(OR(ISNUMBER(SEARCH(",",D285)),ISNUMBER(SEARCH("קבוצות",G285))),"כן","לא")</f>
      </c>
    </row>
    <row r="286" spans="2:10" x14ac:dyDescent="0.25">
      <c r="B286" s="11"/>
      <c r="C286" s="11"/>
      <c r="D286" s="11"/>
      <c r="E286" s="11"/>
      <c r="F286" s="11"/>
      <c r="G286" s="11"/>
      <c r="H286" s="3">
        <f>IF(OR(F286="",F286=0),"לא","כן")</f>
      </c>
      <c r="I286" s="3">
        <f>IF(ISNUMBER(SEARCH(",",D286)),"כן","לא")</f>
      </c>
      <c r="J286" s="3">
        <f>IF(OR(ISNUMBER(SEARCH(",",D286)),ISNUMBER(SEARCH("קבוצות",G286))),"כן","לא")</f>
      </c>
    </row>
    <row r="287" spans="2:10" x14ac:dyDescent="0.25">
      <c r="B287" s="11"/>
      <c r="C287" s="11"/>
      <c r="D287" s="11"/>
      <c r="E287" s="11"/>
      <c r="F287" s="11"/>
      <c r="G287" s="11"/>
      <c r="H287" s="3">
        <f>IF(OR(F287="",F287=0),"לא","כן")</f>
      </c>
      <c r="I287" s="3">
        <f>IF(ISNUMBER(SEARCH(",",D287)),"כן","לא")</f>
      </c>
      <c r="J287" s="3">
        <f>IF(OR(ISNUMBER(SEARCH(",",D287)),ISNUMBER(SEARCH("קבוצות",G287))),"כן","לא")</f>
      </c>
    </row>
    <row r="288" spans="2:10" x14ac:dyDescent="0.25">
      <c r="B288" s="11"/>
      <c r="C288" s="11"/>
      <c r="D288" s="11"/>
      <c r="E288" s="11"/>
      <c r="F288" s="11"/>
      <c r="G288" s="11"/>
      <c r="H288" s="3">
        <f>IF(OR(F288="",F288=0),"לא","כן")</f>
      </c>
      <c r="I288" s="3">
        <f>IF(ISNUMBER(SEARCH(",",D288)),"כן","לא")</f>
      </c>
      <c r="J288" s="3">
        <f>IF(OR(ISNUMBER(SEARCH(",",D288)),ISNUMBER(SEARCH("קבוצות",G288))),"כן","לא")</f>
      </c>
    </row>
    <row r="289" spans="2:10" x14ac:dyDescent="0.25">
      <c r="B289" s="11"/>
      <c r="C289" s="11"/>
      <c r="D289" s="11"/>
      <c r="E289" s="11"/>
      <c r="F289" s="11"/>
      <c r="G289" s="11"/>
      <c r="H289" s="3">
        <f>IF(OR(F289="",F289=0),"לא","כן")</f>
      </c>
      <c r="I289" s="3">
        <f>IF(ISNUMBER(SEARCH(",",D289)),"כן","לא")</f>
      </c>
      <c r="J289" s="3">
        <f>IF(OR(ISNUMBER(SEARCH(",",D289)),ISNUMBER(SEARCH("קבוצות",G289))),"כן","לא")</f>
      </c>
    </row>
    <row r="290" spans="2:10" x14ac:dyDescent="0.25">
      <c r="B290" s="11"/>
      <c r="C290" s="11"/>
      <c r="D290" s="11"/>
      <c r="E290" s="11"/>
      <c r="F290" s="11"/>
      <c r="G290" s="11"/>
      <c r="H290" s="3">
        <f>IF(OR(F290="",F290=0),"לא","כן")</f>
      </c>
      <c r="I290" s="3">
        <f>IF(ISNUMBER(SEARCH(",",D290)),"כן","לא")</f>
      </c>
      <c r="J290" s="3">
        <f>IF(OR(ISNUMBER(SEARCH(",",D290)),ISNUMBER(SEARCH("קבוצות",G290))),"כן","לא")</f>
      </c>
    </row>
    <row r="291" spans="2:10" x14ac:dyDescent="0.25">
      <c r="B291" s="11"/>
      <c r="C291" s="11"/>
      <c r="D291" s="11"/>
      <c r="E291" s="11"/>
      <c r="F291" s="11"/>
      <c r="G291" s="11"/>
      <c r="H291" s="3">
        <f>IF(OR(F291="",F291=0),"לא","כן")</f>
      </c>
      <c r="I291" s="3">
        <f>IF(ISNUMBER(SEARCH(",",D291)),"כן","לא")</f>
      </c>
      <c r="J291" s="3">
        <f>IF(OR(ISNUMBER(SEARCH(",",D291)),ISNUMBER(SEARCH("קבוצות",G291))),"כן","לא")</f>
      </c>
    </row>
    <row r="292" spans="2:10" x14ac:dyDescent="0.25">
      <c r="B292" s="11"/>
      <c r="C292" s="11"/>
      <c r="D292" s="11"/>
      <c r="E292" s="11"/>
      <c r="F292" s="11"/>
      <c r="G292" s="11"/>
      <c r="H292" s="3">
        <f>IF(OR(F292="",F292=0),"לא","כן")</f>
      </c>
      <c r="I292" s="3">
        <f>IF(ISNUMBER(SEARCH(",",D292)),"כן","לא")</f>
      </c>
      <c r="J292" s="3">
        <f>IF(OR(ISNUMBER(SEARCH(",",D292)),ISNUMBER(SEARCH("קבוצות",G292))),"כן","לא")</f>
      </c>
    </row>
    <row r="293" spans="2:10" x14ac:dyDescent="0.25">
      <c r="B293" s="11"/>
      <c r="C293" s="11"/>
      <c r="D293" s="11"/>
      <c r="E293" s="11"/>
      <c r="F293" s="11"/>
      <c r="G293" s="11"/>
      <c r="H293" s="3">
        <f>IF(OR(F293="",F293=0),"לא","כן")</f>
      </c>
      <c r="I293" s="3">
        <f>IF(ISNUMBER(SEARCH(",",D293)),"כן","לא")</f>
      </c>
      <c r="J293" s="3">
        <f>IF(OR(ISNUMBER(SEARCH(",",D293)),ISNUMBER(SEARCH("קבוצות",G293))),"כן","לא")</f>
      </c>
    </row>
    <row r="294" spans="2:10" x14ac:dyDescent="0.25">
      <c r="B294" s="11"/>
      <c r="C294" s="11"/>
      <c r="D294" s="11"/>
      <c r="E294" s="11"/>
      <c r="F294" s="11"/>
      <c r="G294" s="11"/>
      <c r="H294" s="3">
        <f>IF(OR(F294="",F294=0),"לא","כן")</f>
      </c>
      <c r="I294" s="3">
        <f>IF(ISNUMBER(SEARCH(",",D294)),"כן","לא")</f>
      </c>
      <c r="J294" s="3">
        <f>IF(OR(ISNUMBER(SEARCH(",",D294)),ISNUMBER(SEARCH("קבוצות",G294))),"כן","לא")</f>
      </c>
    </row>
    <row r="295" spans="2:10" x14ac:dyDescent="0.25">
      <c r="B295" s="11"/>
      <c r="C295" s="11"/>
      <c r="D295" s="11"/>
      <c r="E295" s="11"/>
      <c r="F295" s="11"/>
      <c r="G295" s="11"/>
      <c r="H295" s="3">
        <f>IF(OR(F295="",F295=0),"לא","כן")</f>
      </c>
      <c r="I295" s="3">
        <f>IF(ISNUMBER(SEARCH(",",D295)),"כן","לא")</f>
      </c>
      <c r="J295" s="3">
        <f>IF(OR(ISNUMBER(SEARCH(",",D295)),ISNUMBER(SEARCH("קבוצות",G295))),"כן","לא")</f>
      </c>
    </row>
    <row r="296" spans="2:10" x14ac:dyDescent="0.25">
      <c r="B296" s="11"/>
      <c r="C296" s="11"/>
      <c r="D296" s="11"/>
      <c r="E296" s="11"/>
      <c r="F296" s="11"/>
      <c r="G296" s="11"/>
      <c r="H296" s="3">
        <f>IF(OR(F296="",F296=0),"לא","כן")</f>
      </c>
      <c r="I296" s="3">
        <f>IF(ISNUMBER(SEARCH(",",D296)),"כן","לא")</f>
      </c>
      <c r="J296" s="3">
        <f>IF(OR(ISNUMBER(SEARCH(",",D296)),ISNUMBER(SEARCH("קבוצות",G296))),"כן","לא")</f>
      </c>
    </row>
    <row r="297" spans="2:10" x14ac:dyDescent="0.25">
      <c r="B297" s="11"/>
      <c r="C297" s="11"/>
      <c r="D297" s="11"/>
      <c r="E297" s="11"/>
      <c r="F297" s="11"/>
      <c r="G297" s="11"/>
      <c r="H297" s="3">
        <f>IF(OR(F297="",F297=0),"לא","כן")</f>
      </c>
      <c r="I297" s="3">
        <f>IF(ISNUMBER(SEARCH(",",D297)),"כן","לא")</f>
      </c>
      <c r="J297" s="3">
        <f>IF(OR(ISNUMBER(SEARCH(",",D297)),ISNUMBER(SEARCH("קבוצות",G297))),"כן","לא")</f>
      </c>
    </row>
    <row r="298" spans="2:10" x14ac:dyDescent="0.25">
      <c r="B298" s="11"/>
      <c r="C298" s="11"/>
      <c r="D298" s="11"/>
      <c r="E298" s="11"/>
      <c r="F298" s="11"/>
      <c r="G298" s="11"/>
      <c r="H298" s="3">
        <f>IF(OR(F298="",F298=0),"לא","כן")</f>
      </c>
      <c r="I298" s="3">
        <f>IF(ISNUMBER(SEARCH(",",D298)),"כן","לא")</f>
      </c>
      <c r="J298" s="3">
        <f>IF(OR(ISNUMBER(SEARCH(",",D298)),ISNUMBER(SEARCH("קבוצות",G298))),"כן","לא")</f>
      </c>
    </row>
    <row r="299" spans="2:10" x14ac:dyDescent="0.25">
      <c r="B299" s="11"/>
      <c r="C299" s="11"/>
      <c r="D299" s="11"/>
      <c r="E299" s="11"/>
      <c r="F299" s="11"/>
      <c r="G299" s="11"/>
      <c r="H299" s="3">
        <f>IF(OR(F299="",F299=0),"לא","כן")</f>
      </c>
      <c r="I299" s="3">
        <f>IF(ISNUMBER(SEARCH(",",D299)),"כן","לא")</f>
      </c>
      <c r="J299" s="3">
        <f>IF(OR(ISNUMBER(SEARCH(",",D299)),ISNUMBER(SEARCH("קבוצות",G299))),"כן","לא")</f>
      </c>
    </row>
    <row r="300" spans="2:10" x14ac:dyDescent="0.25">
      <c r="B300" s="11"/>
      <c r="C300" s="11"/>
      <c r="D300" s="11"/>
      <c r="E300" s="11"/>
      <c r="F300" s="11"/>
      <c r="G300" s="11"/>
      <c r="H300" s="3">
        <f>IF(OR(F300="",F300=0),"לא","כן")</f>
      </c>
      <c r="I300" s="3">
        <f>IF(ISNUMBER(SEARCH(",",D300)),"כן","לא")</f>
      </c>
      <c r="J300" s="3">
        <f>IF(OR(ISNUMBER(SEARCH(",",D300)),ISNUMBER(SEARCH("קבוצות",G300))),"כן","לא")</f>
      </c>
    </row>
    <row r="301" spans="2:10" x14ac:dyDescent="0.25">
      <c r="B301" s="11"/>
      <c r="C301" s="11"/>
      <c r="D301" s="11"/>
      <c r="E301" s="11"/>
      <c r="F301" s="11"/>
      <c r="G301" s="11"/>
      <c r="H301" s="3">
        <f>IF(OR(F301="",F301=0),"לא","כן")</f>
      </c>
      <c r="I301" s="3">
        <f>IF(ISNUMBER(SEARCH(",",D301)),"כן","לא")</f>
      </c>
      <c r="J301" s="3">
        <f>IF(OR(ISNUMBER(SEARCH(",",D301)),ISNUMBER(SEARCH("קבוצות",G301))),"כן","לא")</f>
      </c>
    </row>
    <row r="302" spans="2:10" x14ac:dyDescent="0.25">
      <c r="B302" s="11"/>
      <c r="C302" s="11"/>
      <c r="D302" s="11"/>
      <c r="E302" s="11"/>
      <c r="F302" s="11"/>
      <c r="G302" s="11"/>
      <c r="H302" s="3">
        <f>IF(OR(F302="",F302=0),"לא","כן")</f>
      </c>
      <c r="I302" s="3">
        <f>IF(ISNUMBER(SEARCH(",",D302)),"כן","לא")</f>
      </c>
      <c r="J302" s="3">
        <f>IF(OR(ISNUMBER(SEARCH(",",D302)),ISNUMBER(SEARCH("קבוצות",G302))),"כן","לא")</f>
      </c>
    </row>
    <row r="303" spans="2:10" x14ac:dyDescent="0.25">
      <c r="B303" s="11"/>
      <c r="C303" s="11"/>
      <c r="D303" s="11"/>
      <c r="E303" s="11"/>
      <c r="F303" s="11"/>
      <c r="G303" s="11"/>
      <c r="H303" s="3">
        <f>IF(OR(F303="",F303=0),"לא","כן")</f>
      </c>
      <c r="I303" s="3">
        <f>IF(ISNUMBER(SEARCH(",",D303)),"כן","לא")</f>
      </c>
      <c r="J303" s="3">
        <f>IF(OR(ISNUMBER(SEARCH(",",D303)),ISNUMBER(SEARCH("קבוצות",G303))),"כן","לא")</f>
      </c>
    </row>
    <row r="304" spans="2:10" x14ac:dyDescent="0.25">
      <c r="B304" s="11"/>
      <c r="C304" s="11"/>
      <c r="D304" s="11"/>
      <c r="E304" s="11"/>
      <c r="F304" s="11"/>
      <c r="G304" s="11"/>
      <c r="H304" s="3">
        <f>IF(OR(F304="",F304=0),"לא","כן")</f>
      </c>
      <c r="I304" s="3">
        <f>IF(ISNUMBER(SEARCH(",",D304)),"כן","לא")</f>
      </c>
      <c r="J304" s="3">
        <f>IF(OR(ISNUMBER(SEARCH(",",D304)),ISNUMBER(SEARCH("קבוצות",G304))),"כן","לא")</f>
      </c>
    </row>
    <row r="305" spans="2:10" x14ac:dyDescent="0.25">
      <c r="B305" s="11"/>
      <c r="C305" s="11"/>
      <c r="D305" s="11"/>
      <c r="E305" s="11"/>
      <c r="F305" s="11"/>
      <c r="G305" s="11"/>
      <c r="H305" s="3">
        <f>IF(OR(F305="",F305=0),"לא","כן")</f>
      </c>
      <c r="I305" s="3">
        <f>IF(ISNUMBER(SEARCH(",",D305)),"כן","לא")</f>
      </c>
      <c r="J305" s="3">
        <f>IF(OR(ISNUMBER(SEARCH(",",D305)),ISNUMBER(SEARCH("קבוצות",G305))),"כן","לא")</f>
      </c>
    </row>
    <row r="306" spans="2:10" x14ac:dyDescent="0.25">
      <c r="B306" s="11"/>
      <c r="C306" s="11"/>
      <c r="D306" s="11"/>
      <c r="E306" s="11"/>
      <c r="F306" s="11"/>
      <c r="G306" s="11"/>
      <c r="H306" s="3">
        <f>IF(OR(F306="",F306=0),"לא","כן")</f>
      </c>
      <c r="I306" s="3">
        <f>IF(ISNUMBER(SEARCH(",",D306)),"כן","לא")</f>
      </c>
      <c r="J306" s="3">
        <f>IF(OR(ISNUMBER(SEARCH(",",D306)),ISNUMBER(SEARCH("קבוצות",G306))),"כן","לא")</f>
      </c>
    </row>
    <row r="307" spans="2:10" x14ac:dyDescent="0.25">
      <c r="B307" s="11"/>
      <c r="C307" s="11"/>
      <c r="D307" s="11"/>
      <c r="E307" s="11"/>
      <c r="F307" s="11"/>
      <c r="G307" s="11"/>
      <c r="H307" s="3">
        <f>IF(OR(F307="",F307=0),"לא","כן")</f>
      </c>
      <c r="I307" s="3">
        <f>IF(ISNUMBER(SEARCH(",",D307)),"כן","לא")</f>
      </c>
      <c r="J307" s="3">
        <f>IF(OR(ISNUMBER(SEARCH(",",D307)),ISNUMBER(SEARCH("קבוצות",G307))),"כן","לא")</f>
      </c>
    </row>
    <row r="308" spans="2:10" x14ac:dyDescent="0.25">
      <c r="B308" s="11"/>
      <c r="C308" s="11"/>
      <c r="D308" s="11"/>
      <c r="E308" s="11"/>
      <c r="F308" s="11"/>
      <c r="G308" s="11"/>
      <c r="H308" s="3">
        <f>IF(OR(F308="",F308=0),"לא","כן")</f>
      </c>
      <c r="I308" s="3">
        <f>IF(ISNUMBER(SEARCH(",",D308)),"כן","לא")</f>
      </c>
      <c r="J308" s="3">
        <f>IF(OR(ISNUMBER(SEARCH(",",D308)),ISNUMBER(SEARCH("קבוצות",G308))),"כן","לא")</f>
      </c>
    </row>
    <row r="309" spans="2:10" x14ac:dyDescent="0.25">
      <c r="B309" s="11"/>
      <c r="C309" s="11"/>
      <c r="D309" s="11"/>
      <c r="E309" s="11"/>
      <c r="F309" s="11"/>
      <c r="G309" s="11"/>
      <c r="H309" s="3">
        <f>IF(OR(F309="",F309=0),"לא","כן")</f>
      </c>
      <c r="I309" s="3">
        <f>IF(ISNUMBER(SEARCH(",",D309)),"כן","לא")</f>
      </c>
      <c r="J309" s="3">
        <f>IF(OR(ISNUMBER(SEARCH(",",D309)),ISNUMBER(SEARCH("קבוצות",G309))),"כן","לא")</f>
      </c>
    </row>
    <row r="310" spans="2:10" x14ac:dyDescent="0.25">
      <c r="B310" s="11"/>
      <c r="C310" s="11"/>
      <c r="D310" s="11"/>
      <c r="E310" s="11"/>
      <c r="F310" s="11"/>
      <c r="G310" s="11"/>
      <c r="H310" s="3">
        <f>IF(OR(F310="",F310=0),"לא","כן")</f>
      </c>
      <c r="I310" s="3">
        <f>IF(ISNUMBER(SEARCH(",",D310)),"כן","לא")</f>
      </c>
      <c r="J310" s="3">
        <f>IF(OR(ISNUMBER(SEARCH(",",D310)),ISNUMBER(SEARCH("קבוצות",G310))),"כן","לא")</f>
      </c>
    </row>
    <row r="311" spans="2:10" x14ac:dyDescent="0.25">
      <c r="B311" s="11"/>
      <c r="C311" s="11"/>
      <c r="D311" s="11"/>
      <c r="E311" s="11"/>
      <c r="F311" s="11"/>
      <c r="G311" s="11"/>
      <c r="H311" s="3">
        <f>IF(OR(F311="",F311=0),"לא","כן")</f>
      </c>
      <c r="I311" s="3">
        <f>IF(ISNUMBER(SEARCH(",",D311)),"כן","לא")</f>
      </c>
      <c r="J311" s="3">
        <f>IF(OR(ISNUMBER(SEARCH(",",D311)),ISNUMBER(SEARCH("קבוצות",G311))),"כן","לא")</f>
      </c>
    </row>
    <row r="312" spans="2:10" x14ac:dyDescent="0.25">
      <c r="B312" s="11"/>
      <c r="C312" s="11"/>
      <c r="D312" s="11"/>
      <c r="E312" s="11"/>
      <c r="F312" s="11"/>
      <c r="G312" s="11"/>
      <c r="H312" s="3">
        <f>IF(OR(F312="",F312=0),"לא","כן")</f>
      </c>
      <c r="I312" s="3">
        <f>IF(ISNUMBER(SEARCH(",",D312)),"כן","לא")</f>
      </c>
      <c r="J312" s="3">
        <f>IF(OR(ISNUMBER(SEARCH(",",D312)),ISNUMBER(SEARCH("קבוצות",G312))),"כן","לא")</f>
      </c>
    </row>
    <row r="313" spans="2:10" x14ac:dyDescent="0.25">
      <c r="B313" s="11"/>
      <c r="C313" s="11"/>
      <c r="D313" s="11"/>
      <c r="E313" s="11"/>
      <c r="F313" s="11"/>
      <c r="G313" s="11"/>
      <c r="H313" s="3">
        <f>IF(OR(F313="",F313=0),"לא","כן")</f>
      </c>
      <c r="I313" s="3">
        <f>IF(ISNUMBER(SEARCH(",",D313)),"כן","לא")</f>
      </c>
      <c r="J313" s="3">
        <f>IF(OR(ISNUMBER(SEARCH(",",D313)),ISNUMBER(SEARCH("קבוצות",G313))),"כן","לא")</f>
      </c>
    </row>
    <row r="314" spans="2:10" x14ac:dyDescent="0.25">
      <c r="B314" s="11"/>
      <c r="C314" s="11"/>
      <c r="D314" s="11"/>
      <c r="E314" s="11"/>
      <c r="F314" s="11"/>
      <c r="G314" s="11"/>
      <c r="H314" s="3">
        <f>IF(OR(F314="",F314=0),"לא","כן")</f>
      </c>
      <c r="I314" s="3">
        <f>IF(ISNUMBER(SEARCH(",",D314)),"כן","לא")</f>
      </c>
      <c r="J314" s="3">
        <f>IF(OR(ISNUMBER(SEARCH(",",D314)),ISNUMBER(SEARCH("קבוצות",G314))),"כן","לא")</f>
      </c>
    </row>
    <row r="315" spans="2:10" x14ac:dyDescent="0.25">
      <c r="B315" s="11"/>
      <c r="C315" s="11"/>
      <c r="D315" s="11"/>
      <c r="E315" s="11"/>
      <c r="F315" s="11"/>
      <c r="G315" s="11"/>
      <c r="H315" s="3">
        <f>IF(OR(F315="",F315=0),"לא","כן")</f>
      </c>
      <c r="I315" s="3">
        <f>IF(ISNUMBER(SEARCH(",",D315)),"כן","לא")</f>
      </c>
      <c r="J315" s="3">
        <f>IF(OR(ISNUMBER(SEARCH(",",D315)),ISNUMBER(SEARCH("קבוצות",G315))),"כן","לא")</f>
      </c>
    </row>
    <row r="316" spans="2:10" x14ac:dyDescent="0.25">
      <c r="B316" s="11"/>
      <c r="C316" s="11"/>
      <c r="D316" s="11"/>
      <c r="E316" s="11"/>
      <c r="F316" s="11"/>
      <c r="G316" s="11"/>
      <c r="H316" s="3">
        <f>IF(OR(F316="",F316=0),"לא","כן")</f>
      </c>
      <c r="I316" s="3">
        <f>IF(ISNUMBER(SEARCH(",",D316)),"כן","לא")</f>
      </c>
      <c r="J316" s="3">
        <f>IF(OR(ISNUMBER(SEARCH(",",D316)),ISNUMBER(SEARCH("קבוצות",G316))),"כן","לא")</f>
      </c>
    </row>
    <row r="317" spans="2:10" x14ac:dyDescent="0.25">
      <c r="B317" s="11"/>
      <c r="C317" s="11"/>
      <c r="D317" s="11"/>
      <c r="E317" s="11"/>
      <c r="F317" s="11"/>
      <c r="G317" s="11"/>
      <c r="H317" s="3">
        <f>IF(OR(F317="",F317=0),"לא","כן")</f>
      </c>
      <c r="I317" s="3">
        <f>IF(ISNUMBER(SEARCH(",",D317)),"כן","לא")</f>
      </c>
      <c r="J317" s="3">
        <f>IF(OR(ISNUMBER(SEARCH(",",D317)),ISNUMBER(SEARCH("קבוצות",G317))),"כן","לא")</f>
      </c>
    </row>
    <row r="318" spans="2:10" x14ac:dyDescent="0.25">
      <c r="B318" s="11"/>
      <c r="C318" s="11"/>
      <c r="D318" s="11"/>
      <c r="E318" s="11"/>
      <c r="F318" s="11"/>
      <c r="G318" s="11"/>
      <c r="H318" s="3">
        <f>IF(OR(F318="",F318=0),"לא","כן")</f>
      </c>
      <c r="I318" s="3">
        <f>IF(ISNUMBER(SEARCH(",",D318)),"כן","לא")</f>
      </c>
      <c r="J318" s="3">
        <f>IF(OR(ISNUMBER(SEARCH(",",D318)),ISNUMBER(SEARCH("קבוצות",G318))),"כן","לא")</f>
      </c>
    </row>
    <row r="319" spans="2:10" x14ac:dyDescent="0.25">
      <c r="B319" s="11"/>
      <c r="C319" s="11"/>
      <c r="D319" s="11"/>
      <c r="E319" s="11"/>
      <c r="F319" s="11"/>
      <c r="G319" s="11"/>
      <c r="H319" s="3">
        <f>IF(OR(F319="",F319=0),"לא","כן")</f>
      </c>
      <c r="I319" s="3">
        <f>IF(ISNUMBER(SEARCH(",",D319)),"כן","לא")</f>
      </c>
      <c r="J319" s="3">
        <f>IF(OR(ISNUMBER(SEARCH(",",D319)),ISNUMBER(SEARCH("קבוצות",G319))),"כן","לא")</f>
      </c>
    </row>
    <row r="320" spans="2:10" x14ac:dyDescent="0.25">
      <c r="B320" s="11"/>
      <c r="C320" s="11"/>
      <c r="D320" s="11"/>
      <c r="E320" s="11"/>
      <c r="F320" s="11"/>
      <c r="G320" s="11"/>
      <c r="H320" s="3">
        <f>IF(OR(F320="",F320=0),"לא","כן")</f>
      </c>
      <c r="I320" s="3">
        <f>IF(ISNUMBER(SEARCH(",",D320)),"כן","לא")</f>
      </c>
      <c r="J320" s="3">
        <f>IF(OR(ISNUMBER(SEARCH(",",D320)),ISNUMBER(SEARCH("קבוצות",G320))),"כן","לא")</f>
      </c>
    </row>
    <row r="321" spans="2:10" x14ac:dyDescent="0.25">
      <c r="B321" s="11"/>
      <c r="C321" s="11"/>
      <c r="D321" s="11"/>
      <c r="E321" s="11"/>
      <c r="F321" s="11"/>
      <c r="G321" s="11"/>
      <c r="H321" s="3">
        <f>IF(OR(F321="",F321=0),"לא","כן")</f>
      </c>
      <c r="I321" s="3">
        <f>IF(ISNUMBER(SEARCH(",",D321)),"כן","לא")</f>
      </c>
      <c r="J321" s="3">
        <f>IF(OR(ISNUMBER(SEARCH(",",D321)),ISNUMBER(SEARCH("קבוצות",G321))),"כן","לא")</f>
      </c>
    </row>
    <row r="322" spans="2:10" x14ac:dyDescent="0.25">
      <c r="B322" s="11"/>
      <c r="C322" s="11"/>
      <c r="D322" s="11"/>
      <c r="E322" s="11"/>
      <c r="F322" s="11"/>
      <c r="G322" s="11"/>
      <c r="H322" s="3">
        <f>IF(OR(F322="",F322=0),"לא","כן")</f>
      </c>
      <c r="I322" s="3">
        <f>IF(ISNUMBER(SEARCH(",",D322)),"כן","לא")</f>
      </c>
      <c r="J322" s="3">
        <f>IF(OR(ISNUMBER(SEARCH(",",D322)),ISNUMBER(SEARCH("קבוצות",G322))),"כן","לא")</f>
      </c>
    </row>
    <row r="323" spans="2:10" x14ac:dyDescent="0.25">
      <c r="B323" s="11"/>
      <c r="C323" s="11"/>
      <c r="D323" s="11"/>
      <c r="E323" s="11"/>
      <c r="F323" s="11"/>
      <c r="G323" s="11"/>
      <c r="H323" s="3">
        <f>IF(OR(F323="",F323=0),"לא","כן")</f>
      </c>
      <c r="I323" s="3">
        <f>IF(ISNUMBER(SEARCH(",",D323)),"כן","לא")</f>
      </c>
      <c r="J323" s="3">
        <f>IF(OR(ISNUMBER(SEARCH(",",D323)),ISNUMBER(SEARCH("קבוצות",G323))),"כן","לא")</f>
      </c>
    </row>
    <row r="324" spans="2:10" x14ac:dyDescent="0.25">
      <c r="B324" s="11"/>
      <c r="C324" s="11"/>
      <c r="D324" s="11"/>
      <c r="E324" s="11"/>
      <c r="F324" s="11"/>
      <c r="G324" s="11"/>
      <c r="H324" s="3">
        <f>IF(OR(F324="",F324=0),"לא","כן")</f>
      </c>
      <c r="I324" s="3">
        <f>IF(ISNUMBER(SEARCH(",",D324)),"כן","לא")</f>
      </c>
      <c r="J324" s="3">
        <f>IF(OR(ISNUMBER(SEARCH(",",D324)),ISNUMBER(SEARCH("קבוצות",G324))),"כן","לא")</f>
      </c>
    </row>
    <row r="325" spans="2:10" x14ac:dyDescent="0.25">
      <c r="B325" s="11"/>
      <c r="C325" s="11"/>
      <c r="D325" s="11"/>
      <c r="E325" s="11"/>
      <c r="F325" s="11"/>
      <c r="G325" s="11"/>
      <c r="H325" s="3">
        <f>IF(OR(F325="",F325=0),"לא","כן")</f>
      </c>
      <c r="I325" s="3">
        <f>IF(ISNUMBER(SEARCH(",",D325)),"כן","לא")</f>
      </c>
      <c r="J325" s="3">
        <f>IF(OR(ISNUMBER(SEARCH(",",D325)),ISNUMBER(SEARCH("קבוצות",G325))),"כן","לא")</f>
      </c>
    </row>
    <row r="326" spans="2:10" x14ac:dyDescent="0.25">
      <c r="B326" s="11"/>
      <c r="C326" s="11"/>
      <c r="D326" s="11"/>
      <c r="E326" s="11"/>
      <c r="F326" s="11"/>
      <c r="G326" s="11"/>
      <c r="H326" s="3">
        <f>IF(OR(F326="",F326=0),"לא","כן")</f>
      </c>
      <c r="I326" s="3">
        <f>IF(ISNUMBER(SEARCH(",",D326)),"כן","לא")</f>
      </c>
      <c r="J326" s="3">
        <f>IF(OR(ISNUMBER(SEARCH(",",D326)),ISNUMBER(SEARCH("קבוצות",G326))),"כן","לא")</f>
      </c>
    </row>
    <row r="327" spans="2:10" x14ac:dyDescent="0.25">
      <c r="B327" s="11"/>
      <c r="C327" s="11"/>
      <c r="D327" s="11"/>
      <c r="E327" s="11"/>
      <c r="F327" s="11"/>
      <c r="G327" s="11"/>
      <c r="H327" s="3">
        <f>IF(OR(F327="",F327=0),"לא","כן")</f>
      </c>
      <c r="I327" s="3">
        <f>IF(ISNUMBER(SEARCH(",",D327)),"כן","לא")</f>
      </c>
      <c r="J327" s="3">
        <f>IF(OR(ISNUMBER(SEARCH(",",D327)),ISNUMBER(SEARCH("קבוצות",G327))),"כן","לא")</f>
      </c>
    </row>
    <row r="328" spans="2:10" x14ac:dyDescent="0.25">
      <c r="B328" s="11"/>
      <c r="C328" s="11"/>
      <c r="D328" s="11"/>
      <c r="E328" s="11"/>
      <c r="F328" s="11"/>
      <c r="G328" s="11"/>
      <c r="H328" s="3">
        <f>IF(OR(F328="",F328=0),"לא","כן")</f>
      </c>
      <c r="I328" s="3">
        <f>IF(ISNUMBER(SEARCH(",",D328)),"כן","לא")</f>
      </c>
      <c r="J328" s="3">
        <f>IF(OR(ISNUMBER(SEARCH(",",D328)),ISNUMBER(SEARCH("קבוצות",G328))),"כן","לא")</f>
      </c>
    </row>
    <row r="329" spans="2:10" x14ac:dyDescent="0.25">
      <c r="B329" s="11"/>
      <c r="C329" s="11"/>
      <c r="D329" s="11"/>
      <c r="E329" s="11"/>
      <c r="F329" s="11"/>
      <c r="G329" s="11"/>
      <c r="H329" s="3">
        <f>IF(OR(F329="",F329=0),"לא","כן")</f>
      </c>
      <c r="I329" s="3">
        <f>IF(ISNUMBER(SEARCH(",",D329)),"כן","לא")</f>
      </c>
      <c r="J329" s="3">
        <f>IF(OR(ISNUMBER(SEARCH(",",D329)),ISNUMBER(SEARCH("קבוצות",G329))),"כן","לא")</f>
      </c>
    </row>
    <row r="330" spans="2:10" x14ac:dyDescent="0.25">
      <c r="B330" s="11"/>
      <c r="C330" s="11"/>
      <c r="D330" s="11"/>
      <c r="E330" s="11"/>
      <c r="F330" s="11"/>
      <c r="G330" s="11"/>
      <c r="H330" s="3">
        <f>IF(OR(F330="",F330=0),"לא","כן")</f>
      </c>
      <c r="I330" s="3">
        <f>IF(ISNUMBER(SEARCH(",",D330)),"כן","לא")</f>
      </c>
      <c r="J330" s="3">
        <f>IF(OR(ISNUMBER(SEARCH(",",D330)),ISNUMBER(SEARCH("קבוצות",G330))),"כן","לא")</f>
      </c>
    </row>
    <row r="331" spans="2:10" x14ac:dyDescent="0.25">
      <c r="B331" s="11"/>
      <c r="C331" s="11"/>
      <c r="D331" s="11"/>
      <c r="E331" s="11"/>
      <c r="F331" s="11"/>
      <c r="G331" s="11"/>
      <c r="H331" s="3">
        <f>IF(OR(F331="",F331=0),"לא","כן")</f>
      </c>
      <c r="I331" s="3">
        <f>IF(ISNUMBER(SEARCH(",",D331)),"כן","לא")</f>
      </c>
      <c r="J331" s="3">
        <f>IF(OR(ISNUMBER(SEARCH(",",D331)),ISNUMBER(SEARCH("קבוצות",G331))),"כן","לא")</f>
      </c>
    </row>
    <row r="332" spans="2:10" x14ac:dyDescent="0.25">
      <c r="B332" s="11"/>
      <c r="C332" s="11"/>
      <c r="D332" s="11"/>
      <c r="E332" s="11"/>
      <c r="F332" s="11"/>
      <c r="G332" s="11"/>
      <c r="H332" s="3">
        <f>IF(OR(F332="",F332=0),"לא","כן")</f>
      </c>
      <c r="I332" s="3">
        <f>IF(ISNUMBER(SEARCH(",",D332)),"כן","לא")</f>
      </c>
      <c r="J332" s="3">
        <f>IF(OR(ISNUMBER(SEARCH(",",D332)),ISNUMBER(SEARCH("קבוצות",G332))),"כן","לא")</f>
      </c>
    </row>
    <row r="333" spans="2:10" x14ac:dyDescent="0.25">
      <c r="B333" s="11"/>
      <c r="C333" s="11"/>
      <c r="D333" s="11"/>
      <c r="E333" s="11"/>
      <c r="F333" s="11"/>
      <c r="G333" s="11"/>
      <c r="H333" s="3">
        <f>IF(OR(F333="",F333=0),"לא","כן")</f>
      </c>
      <c r="I333" s="3">
        <f>IF(ISNUMBER(SEARCH(",",D333)),"כן","לא")</f>
      </c>
      <c r="J333" s="3">
        <f>IF(OR(ISNUMBER(SEARCH(",",D333)),ISNUMBER(SEARCH("קבוצות",G333))),"כן","לא")</f>
      </c>
    </row>
    <row r="334" spans="2:10" x14ac:dyDescent="0.25">
      <c r="B334" s="11"/>
      <c r="C334" s="11"/>
      <c r="D334" s="11"/>
      <c r="E334" s="11"/>
      <c r="F334" s="11"/>
      <c r="G334" s="11"/>
      <c r="H334" s="3">
        <f>IF(OR(F334="",F334=0),"לא","כן")</f>
      </c>
      <c r="I334" s="3">
        <f>IF(ISNUMBER(SEARCH(",",D334)),"כן","לא")</f>
      </c>
      <c r="J334" s="3">
        <f>IF(OR(ISNUMBER(SEARCH(",",D334)),ISNUMBER(SEARCH("קבוצות",G334))),"כן","לא")</f>
      </c>
    </row>
    <row r="335" spans="2:10" x14ac:dyDescent="0.25">
      <c r="B335" s="11"/>
      <c r="C335" s="11"/>
      <c r="D335" s="11"/>
      <c r="E335" s="11"/>
      <c r="F335" s="11"/>
      <c r="G335" s="11"/>
      <c r="H335" s="3">
        <f>IF(OR(F335="",F335=0),"לא","כן")</f>
      </c>
      <c r="I335" s="3">
        <f>IF(ISNUMBER(SEARCH(",",D335)),"כן","לא")</f>
      </c>
      <c r="J335" s="3">
        <f>IF(OR(ISNUMBER(SEARCH(",",D335)),ISNUMBER(SEARCH("קבוצות",G335))),"כן","לא")</f>
      </c>
    </row>
    <row r="336" spans="2:10" x14ac:dyDescent="0.25">
      <c r="B336" s="11"/>
      <c r="C336" s="11"/>
      <c r="D336" s="11"/>
      <c r="E336" s="11"/>
      <c r="F336" s="11"/>
      <c r="G336" s="11"/>
      <c r="H336" s="3">
        <f>IF(OR(F336="",F336=0),"לא","כן")</f>
      </c>
      <c r="I336" s="3">
        <f>IF(ISNUMBER(SEARCH(",",D336)),"כן","לא")</f>
      </c>
      <c r="J336" s="3">
        <f>IF(OR(ISNUMBER(SEARCH(",",D336)),ISNUMBER(SEARCH("קבוצות",G336))),"כן","לא")</f>
      </c>
    </row>
    <row r="337" spans="2:10" x14ac:dyDescent="0.25">
      <c r="B337" s="11"/>
      <c r="C337" s="11"/>
      <c r="D337" s="11"/>
      <c r="E337" s="11"/>
      <c r="F337" s="11"/>
      <c r="G337" s="11"/>
      <c r="H337" s="3">
        <f>IF(OR(F337="",F337=0),"לא","כן")</f>
      </c>
      <c r="I337" s="3">
        <f>IF(ISNUMBER(SEARCH(",",D337)),"כן","לא")</f>
      </c>
      <c r="J337" s="3">
        <f>IF(OR(ISNUMBER(SEARCH(",",D337)),ISNUMBER(SEARCH("קבוצות",G337))),"כן","לא")</f>
      </c>
    </row>
    <row r="338" spans="2:10" x14ac:dyDescent="0.25">
      <c r="B338" s="11"/>
      <c r="C338" s="11"/>
      <c r="D338" s="11"/>
      <c r="E338" s="11"/>
      <c r="F338" s="11"/>
      <c r="G338" s="11"/>
      <c r="H338" s="3">
        <f>IF(OR(F338="",F338=0),"לא","כן")</f>
      </c>
      <c r="I338" s="3">
        <f>IF(ISNUMBER(SEARCH(",",D338)),"כן","לא")</f>
      </c>
      <c r="J338" s="3">
        <f>IF(OR(ISNUMBER(SEARCH(",",D338)),ISNUMBER(SEARCH("קבוצות",G338))),"כן","לא")</f>
      </c>
    </row>
    <row r="339" spans="2:10" x14ac:dyDescent="0.25">
      <c r="B339" s="11"/>
      <c r="C339" s="11"/>
      <c r="D339" s="11"/>
      <c r="E339" s="11"/>
      <c r="F339" s="11"/>
      <c r="G339" s="11"/>
      <c r="H339" s="3">
        <f>IF(OR(F339="",F339=0),"לא","כן")</f>
      </c>
      <c r="I339" s="3">
        <f>IF(ISNUMBER(SEARCH(",",D339)),"כן","לא")</f>
      </c>
      <c r="J339" s="3">
        <f>IF(OR(ISNUMBER(SEARCH(",",D339)),ISNUMBER(SEARCH("קבוצות",G339))),"כן","לא")</f>
      </c>
    </row>
    <row r="340" spans="2:10" x14ac:dyDescent="0.25">
      <c r="B340" s="11"/>
      <c r="C340" s="11"/>
      <c r="D340" s="11"/>
      <c r="E340" s="11"/>
      <c r="F340" s="11"/>
      <c r="G340" s="11"/>
      <c r="H340" s="3">
        <f>IF(OR(F340="",F340=0),"לא","כן")</f>
      </c>
      <c r="I340" s="3">
        <f>IF(ISNUMBER(SEARCH(",",D340)),"כן","לא")</f>
      </c>
      <c r="J340" s="3">
        <f>IF(OR(ISNUMBER(SEARCH(",",D340)),ISNUMBER(SEARCH("קבוצות",G340))),"כן","לא")</f>
      </c>
    </row>
    <row r="341" spans="2:10" x14ac:dyDescent="0.25">
      <c r="B341" s="11"/>
      <c r="C341" s="11"/>
      <c r="D341" s="11"/>
      <c r="E341" s="11"/>
      <c r="F341" s="11"/>
      <c r="G341" s="11"/>
      <c r="H341" s="3">
        <f>IF(OR(F341="",F341=0),"לא","כן")</f>
      </c>
      <c r="I341" s="3">
        <f>IF(ISNUMBER(SEARCH(",",D341)),"כן","לא")</f>
      </c>
      <c r="J341" s="3">
        <f>IF(OR(ISNUMBER(SEARCH(",",D341)),ISNUMBER(SEARCH("קבוצות",G341))),"כן","לא")</f>
      </c>
    </row>
    <row r="342" spans="2:10" x14ac:dyDescent="0.25">
      <c r="B342" s="11"/>
      <c r="C342" s="11"/>
      <c r="D342" s="11"/>
      <c r="E342" s="11"/>
      <c r="F342" s="11"/>
      <c r="G342" s="11"/>
      <c r="H342" s="3">
        <f>IF(OR(F342="",F342=0),"לא","כן")</f>
      </c>
      <c r="I342" s="3">
        <f>IF(ISNUMBER(SEARCH(",",D342)),"כן","לא")</f>
      </c>
      <c r="J342" s="3">
        <f>IF(OR(ISNUMBER(SEARCH(",",D342)),ISNUMBER(SEARCH("קבוצות",G342))),"כן","לא")</f>
      </c>
    </row>
    <row r="343" spans="2:10" x14ac:dyDescent="0.25">
      <c r="B343" s="11"/>
      <c r="C343" s="11"/>
      <c r="D343" s="11"/>
      <c r="E343" s="11"/>
      <c r="F343" s="11"/>
      <c r="G343" s="11"/>
      <c r="H343" s="3">
        <f>IF(OR(F343="",F343=0),"לא","כן")</f>
      </c>
      <c r="I343" s="3">
        <f>IF(ISNUMBER(SEARCH(",",D343)),"כן","לא")</f>
      </c>
      <c r="J343" s="3">
        <f>IF(OR(ISNUMBER(SEARCH(",",D343)),ISNUMBER(SEARCH("קבוצות",G343))),"כן","לא")</f>
      </c>
    </row>
    <row r="344" spans="2:10" x14ac:dyDescent="0.25">
      <c r="B344" s="11"/>
      <c r="C344" s="11"/>
      <c r="D344" s="11"/>
      <c r="E344" s="11"/>
      <c r="F344" s="11"/>
      <c r="G344" s="11"/>
      <c r="H344" s="3">
        <f>IF(OR(F344="",F344=0),"לא","כן")</f>
      </c>
      <c r="I344" s="3">
        <f>IF(ISNUMBER(SEARCH(",",D344)),"כן","לא")</f>
      </c>
      <c r="J344" s="3">
        <f>IF(OR(ISNUMBER(SEARCH(",",D344)),ISNUMBER(SEARCH("קבוצות",G344))),"כן","לא")</f>
      </c>
    </row>
    <row r="345" spans="2:10" x14ac:dyDescent="0.25">
      <c r="B345" s="11"/>
      <c r="C345" s="11"/>
      <c r="D345" s="11"/>
      <c r="E345" s="11"/>
      <c r="F345" s="11"/>
      <c r="G345" s="11"/>
      <c r="H345" s="3">
        <f>IF(OR(F345="",F345=0),"לא","כן")</f>
      </c>
      <c r="I345" s="3">
        <f>IF(ISNUMBER(SEARCH(",",D345)),"כן","לא")</f>
      </c>
      <c r="J345" s="3">
        <f>IF(OR(ISNUMBER(SEARCH(",",D345)),ISNUMBER(SEARCH("קבוצות",G345))),"כן","לא")</f>
      </c>
    </row>
    <row r="346" spans="2:10" x14ac:dyDescent="0.25">
      <c r="B346" s="11"/>
      <c r="C346" s="11"/>
      <c r="D346" s="11"/>
      <c r="E346" s="11"/>
      <c r="F346" s="11"/>
      <c r="G346" s="11"/>
      <c r="H346" s="3">
        <f>IF(OR(F346="",F346=0),"לא","כן")</f>
      </c>
      <c r="I346" s="3">
        <f>IF(ISNUMBER(SEARCH(",",D346)),"כן","לא")</f>
      </c>
      <c r="J346" s="3">
        <f>IF(OR(ISNUMBER(SEARCH(",",D346)),ISNUMBER(SEARCH("קבוצות",G346))),"כן","לא")</f>
      </c>
    </row>
    <row r="347" spans="2:10" x14ac:dyDescent="0.25">
      <c r="B347" s="11"/>
      <c r="C347" s="11"/>
      <c r="D347" s="11"/>
      <c r="E347" s="11"/>
      <c r="F347" s="11"/>
      <c r="G347" s="11"/>
      <c r="H347" s="3">
        <f>IF(OR(F347="",F347=0),"לא","כן")</f>
      </c>
      <c r="I347" s="3">
        <f>IF(ISNUMBER(SEARCH(",",D347)),"כן","לא")</f>
      </c>
      <c r="J347" s="3">
        <f>IF(OR(ISNUMBER(SEARCH(",",D347)),ISNUMBER(SEARCH("קבוצות",G347))),"כן","לא")</f>
      </c>
    </row>
    <row r="348" spans="2:10" x14ac:dyDescent="0.25">
      <c r="B348" s="11"/>
      <c r="C348" s="11"/>
      <c r="D348" s="11"/>
      <c r="E348" s="11"/>
      <c r="F348" s="11"/>
      <c r="G348" s="11"/>
      <c r="H348" s="3">
        <f>IF(OR(F348="",F348=0),"לא","כן")</f>
      </c>
      <c r="I348" s="3">
        <f>IF(ISNUMBER(SEARCH(",",D348)),"כן","לא")</f>
      </c>
      <c r="J348" s="3">
        <f>IF(OR(ISNUMBER(SEARCH(",",D348)),ISNUMBER(SEARCH("קבוצות",G348))),"כן","לא")</f>
      </c>
    </row>
    <row r="349" spans="2:10" x14ac:dyDescent="0.25">
      <c r="B349" s="11"/>
      <c r="C349" s="11"/>
      <c r="D349" s="11"/>
      <c r="E349" s="11"/>
      <c r="F349" s="11"/>
      <c r="G349" s="11"/>
      <c r="H349" s="3">
        <f>IF(OR(F349="",F349=0),"לא","כן")</f>
      </c>
      <c r="I349" s="3">
        <f>IF(ISNUMBER(SEARCH(",",D349)),"כן","לא")</f>
      </c>
      <c r="J349" s="3">
        <f>IF(OR(ISNUMBER(SEARCH(",",D349)),ISNUMBER(SEARCH("קבוצות",G349))),"כן","לא")</f>
      </c>
    </row>
    <row r="350" spans="2:10" x14ac:dyDescent="0.25">
      <c r="B350" s="11"/>
      <c r="C350" s="11"/>
      <c r="D350" s="11"/>
      <c r="E350" s="11"/>
      <c r="F350" s="11"/>
      <c r="G350" s="11"/>
      <c r="H350" s="3">
        <f>IF(OR(F350="",F350=0),"לא","כן")</f>
      </c>
      <c r="I350" s="3">
        <f>IF(ISNUMBER(SEARCH(",",D350)),"כן","לא")</f>
      </c>
      <c r="J350" s="3">
        <f>IF(OR(ISNUMBER(SEARCH(",",D350)),ISNUMBER(SEARCH("קבוצות",G350))),"כן","לא")</f>
      </c>
    </row>
    <row r="351" spans="2:10" x14ac:dyDescent="0.25">
      <c r="B351" s="11"/>
      <c r="C351" s="11"/>
      <c r="D351" s="11"/>
      <c r="E351" s="11"/>
      <c r="F351" s="11"/>
      <c r="G351" s="11"/>
      <c r="H351" s="3">
        <f>IF(OR(F351="",F351=0),"לא","כן")</f>
      </c>
      <c r="I351" s="3">
        <f>IF(ISNUMBER(SEARCH(",",D351)),"כן","לא")</f>
      </c>
      <c r="J351" s="3">
        <f>IF(OR(ISNUMBER(SEARCH(",",D351)),ISNUMBER(SEARCH("קבוצות",G351))),"כן","לא")</f>
      </c>
    </row>
    <row r="352" spans="2:10" x14ac:dyDescent="0.25">
      <c r="B352" s="11"/>
      <c r="C352" s="11"/>
      <c r="D352" s="11"/>
      <c r="E352" s="11"/>
      <c r="F352" s="11"/>
      <c r="G352" s="11"/>
      <c r="H352" s="3">
        <f>IF(OR(F352="",F352=0),"לא","כן")</f>
      </c>
      <c r="I352" s="3">
        <f>IF(ISNUMBER(SEARCH(",",D352)),"כן","לא")</f>
      </c>
      <c r="J352" s="3">
        <f>IF(OR(ISNUMBER(SEARCH(",",D352)),ISNUMBER(SEARCH("קבוצות",G352))),"כן","לא")</f>
      </c>
    </row>
    <row r="353" spans="2:10" x14ac:dyDescent="0.25">
      <c r="B353" s="11"/>
      <c r="C353" s="11"/>
      <c r="D353" s="11"/>
      <c r="E353" s="11"/>
      <c r="F353" s="11"/>
      <c r="G353" s="11"/>
      <c r="H353" s="3">
        <f>IF(OR(F353="",F353=0),"לא","כן")</f>
      </c>
      <c r="I353" s="3">
        <f>IF(ISNUMBER(SEARCH(",",D353)),"כן","לא")</f>
      </c>
      <c r="J353" s="3">
        <f>IF(OR(ISNUMBER(SEARCH(",",D353)),ISNUMBER(SEARCH("קבוצות",G353))),"כן","לא")</f>
      </c>
    </row>
    <row r="354" spans="2:10" x14ac:dyDescent="0.25">
      <c r="B354" s="11"/>
      <c r="C354" s="11"/>
      <c r="D354" s="11"/>
      <c r="E354" s="11"/>
      <c r="F354" s="11"/>
      <c r="G354" s="11"/>
      <c r="H354" s="3">
        <f>IF(OR(F354="",F354=0),"לא","כן")</f>
      </c>
      <c r="I354" s="3">
        <f>IF(ISNUMBER(SEARCH(",",D354)),"כן","לא")</f>
      </c>
      <c r="J354" s="3">
        <f>IF(OR(ISNUMBER(SEARCH(",",D354)),ISNUMBER(SEARCH("קבוצות",G354))),"כן","לא")</f>
      </c>
    </row>
    <row r="355" spans="2:10" x14ac:dyDescent="0.25">
      <c r="B355" s="11"/>
      <c r="C355" s="11"/>
      <c r="D355" s="11"/>
      <c r="E355" s="11"/>
      <c r="F355" s="11"/>
      <c r="G355" s="11"/>
      <c r="H355" s="3">
        <f>IF(OR(F355="",F355=0),"לא","כן")</f>
      </c>
      <c r="I355" s="3">
        <f>IF(ISNUMBER(SEARCH(",",D355)),"כן","לא")</f>
      </c>
      <c r="J355" s="3">
        <f>IF(OR(ISNUMBER(SEARCH(",",D355)),ISNUMBER(SEARCH("קבוצות",G355))),"כן","לא")</f>
      </c>
    </row>
    <row r="356" spans="2:10" x14ac:dyDescent="0.25">
      <c r="B356" s="11"/>
      <c r="C356" s="11"/>
      <c r="D356" s="11"/>
      <c r="E356" s="11"/>
      <c r="F356" s="11"/>
      <c r="G356" s="11"/>
      <c r="H356" s="3">
        <f>IF(OR(F356="",F356=0),"לא","כן")</f>
      </c>
      <c r="I356" s="3">
        <f>IF(ISNUMBER(SEARCH(",",D356)),"כן","לא")</f>
      </c>
      <c r="J356" s="3">
        <f>IF(OR(ISNUMBER(SEARCH(",",D356)),ISNUMBER(SEARCH("קבוצות",G356))),"כן","לא")</f>
      </c>
    </row>
    <row r="357" spans="2:10" x14ac:dyDescent="0.25">
      <c r="B357" s="11"/>
      <c r="C357" s="11"/>
      <c r="D357" s="11"/>
      <c r="E357" s="11"/>
      <c r="F357" s="11"/>
      <c r="G357" s="11"/>
      <c r="H357" s="3">
        <f>IF(OR(F357="",F357=0),"לא","כן")</f>
      </c>
      <c r="I357" s="3">
        <f>IF(ISNUMBER(SEARCH(",",D357)),"כן","לא")</f>
      </c>
      <c r="J357" s="3">
        <f>IF(OR(ISNUMBER(SEARCH(",",D357)),ISNUMBER(SEARCH("קבוצות",G357))),"כן","לא")</f>
      </c>
    </row>
    <row r="358" spans="2:10" x14ac:dyDescent="0.25">
      <c r="B358" s="11"/>
      <c r="C358" s="11"/>
      <c r="D358" s="11"/>
      <c r="E358" s="11"/>
      <c r="F358" s="11"/>
      <c r="G358" s="11"/>
      <c r="H358" s="3">
        <f>IF(OR(F358="",F358=0),"לא","כן")</f>
      </c>
      <c r="I358" s="3">
        <f>IF(ISNUMBER(SEARCH(",",D358)),"כן","לא")</f>
      </c>
      <c r="J358" s="3">
        <f>IF(OR(ISNUMBER(SEARCH(",",D358)),ISNUMBER(SEARCH("קבוצות",G358))),"כן","לא")</f>
      </c>
    </row>
    <row r="359" spans="2:10" x14ac:dyDescent="0.25">
      <c r="B359" s="11"/>
      <c r="C359" s="11"/>
      <c r="D359" s="11"/>
      <c r="E359" s="11"/>
      <c r="F359" s="11"/>
      <c r="G359" s="11"/>
      <c r="H359" s="3">
        <f>IF(OR(F359="",F359=0),"לא","כן")</f>
      </c>
      <c r="I359" s="3">
        <f>IF(ISNUMBER(SEARCH(",",D359)),"כן","לא")</f>
      </c>
      <c r="J359" s="3">
        <f>IF(OR(ISNUMBER(SEARCH(",",D359)),ISNUMBER(SEARCH("קבוצות",G359))),"כן","לא")</f>
      </c>
    </row>
    <row r="360" spans="2:10" x14ac:dyDescent="0.25">
      <c r="B360" s="11"/>
      <c r="C360" s="11"/>
      <c r="D360" s="11"/>
      <c r="E360" s="11"/>
      <c r="F360" s="11"/>
      <c r="G360" s="11"/>
      <c r="H360" s="3">
        <f>IF(OR(F360="",F360=0),"לא","כן")</f>
      </c>
      <c r="I360" s="3">
        <f>IF(ISNUMBER(SEARCH(",",D360)),"כן","לא")</f>
      </c>
      <c r="J360" s="3">
        <f>IF(OR(ISNUMBER(SEARCH(",",D360)),ISNUMBER(SEARCH("קבוצות",G360))),"כן","לא")</f>
      </c>
    </row>
    <row r="361" spans="2:10" x14ac:dyDescent="0.25">
      <c r="B361" s="11"/>
      <c r="C361" s="11"/>
      <c r="D361" s="11"/>
      <c r="E361" s="11"/>
      <c r="F361" s="11"/>
      <c r="G361" s="11"/>
      <c r="H361" s="3">
        <f>IF(OR(F361="",F361=0),"לא","כן")</f>
      </c>
      <c r="I361" s="3">
        <f>IF(ISNUMBER(SEARCH(",",D361)),"כן","לא")</f>
      </c>
      <c r="J361" s="3">
        <f>IF(OR(ISNUMBER(SEARCH(",",D361)),ISNUMBER(SEARCH("קבוצות",G361))),"כן","לא")</f>
      </c>
    </row>
    <row r="362" spans="2:10" x14ac:dyDescent="0.25">
      <c r="B362" s="11"/>
      <c r="C362" s="11"/>
      <c r="D362" s="11"/>
      <c r="E362" s="11"/>
      <c r="F362" s="11"/>
      <c r="G362" s="11"/>
      <c r="H362" s="3">
        <f>IF(OR(F362="",F362=0),"לא","כן")</f>
      </c>
      <c r="I362" s="3">
        <f>IF(ISNUMBER(SEARCH(",",D362)),"כן","לא")</f>
      </c>
      <c r="J362" s="3">
        <f>IF(OR(ISNUMBER(SEARCH(",",D362)),ISNUMBER(SEARCH("קבוצות",G362))),"כן","לא")</f>
      </c>
    </row>
    <row r="363" spans="2:10" x14ac:dyDescent="0.25">
      <c r="B363" s="11"/>
      <c r="C363" s="11"/>
      <c r="D363" s="11"/>
      <c r="E363" s="11"/>
      <c r="F363" s="11"/>
      <c r="G363" s="11"/>
      <c r="H363" s="3">
        <f>IF(OR(F363="",F363=0),"לא","כן")</f>
      </c>
      <c r="I363" s="3">
        <f>IF(ISNUMBER(SEARCH(",",D363)),"כן","לא")</f>
      </c>
      <c r="J363" s="3">
        <f>IF(OR(ISNUMBER(SEARCH(",",D363)),ISNUMBER(SEARCH("קבוצות",G363))),"כן","לא")</f>
      </c>
    </row>
    <row r="364" spans="2:10" x14ac:dyDescent="0.25">
      <c r="B364" s="11"/>
      <c r="C364" s="11"/>
      <c r="D364" s="11"/>
      <c r="E364" s="11"/>
      <c r="F364" s="11"/>
      <c r="G364" s="11"/>
      <c r="H364" s="3">
        <f>IF(OR(F364="",F364=0),"לא","כן")</f>
      </c>
      <c r="I364" s="3">
        <f>IF(ISNUMBER(SEARCH(",",D364)),"כן","לא")</f>
      </c>
      <c r="J364" s="3">
        <f>IF(OR(ISNUMBER(SEARCH(",",D364)),ISNUMBER(SEARCH("קבוצות",G364))),"כן","לא")</f>
      </c>
    </row>
    <row r="365" spans="2:10" x14ac:dyDescent="0.25">
      <c r="B365" s="11"/>
      <c r="C365" s="11"/>
      <c r="D365" s="11"/>
      <c r="E365" s="11"/>
      <c r="F365" s="11"/>
      <c r="G365" s="11"/>
      <c r="H365" s="3">
        <f>IF(OR(F365="",F365=0),"לא","כן")</f>
      </c>
      <c r="I365" s="3">
        <f>IF(ISNUMBER(SEARCH(",",D365)),"כן","לא")</f>
      </c>
      <c r="J365" s="3">
        <f>IF(OR(ISNUMBER(SEARCH(",",D365)),ISNUMBER(SEARCH("קבוצות",G365))),"כן","לא")</f>
      </c>
    </row>
    <row r="366" spans="2:10" x14ac:dyDescent="0.25">
      <c r="B366" s="11"/>
      <c r="C366" s="11"/>
      <c r="D366" s="11"/>
      <c r="E366" s="11"/>
      <c r="F366" s="11"/>
      <c r="G366" s="11"/>
      <c r="H366" s="3">
        <f>IF(OR(F366="",F366=0),"לא","כן")</f>
      </c>
      <c r="I366" s="3">
        <f>IF(ISNUMBER(SEARCH(",",D366)),"כן","לא")</f>
      </c>
      <c r="J366" s="3">
        <f>IF(OR(ISNUMBER(SEARCH(",",D366)),ISNUMBER(SEARCH("קבוצות",G366))),"כן","לא")</f>
      </c>
    </row>
    <row r="367" spans="2:10" x14ac:dyDescent="0.25">
      <c r="B367" s="11"/>
      <c r="C367" s="11"/>
      <c r="D367" s="11"/>
      <c r="E367" s="11"/>
      <c r="F367" s="11"/>
      <c r="G367" s="11"/>
      <c r="H367" s="3">
        <f>IF(OR(F367="",F367=0),"לא","כן")</f>
      </c>
      <c r="I367" s="3">
        <f>IF(ISNUMBER(SEARCH(",",D367)),"כן","לא")</f>
      </c>
      <c r="J367" s="3">
        <f>IF(OR(ISNUMBER(SEARCH(",",D367)),ISNUMBER(SEARCH("קבוצות",G367))),"כן","לא")</f>
      </c>
    </row>
    <row r="368" spans="2:10" x14ac:dyDescent="0.25">
      <c r="B368" s="11"/>
      <c r="C368" s="11"/>
      <c r="D368" s="11"/>
      <c r="E368" s="11"/>
      <c r="F368" s="11"/>
      <c r="G368" s="11"/>
      <c r="H368" s="3">
        <f>IF(OR(F368="",F368=0),"לא","כן")</f>
      </c>
      <c r="I368" s="3">
        <f>IF(ISNUMBER(SEARCH(",",D368)),"כן","לא")</f>
      </c>
      <c r="J368" s="3">
        <f>IF(OR(ISNUMBER(SEARCH(",",D368)),ISNUMBER(SEARCH("קבוצות",G368))),"כן","לא")</f>
      </c>
    </row>
    <row r="369" spans="2:10" x14ac:dyDescent="0.25">
      <c r="B369" s="11"/>
      <c r="C369" s="11"/>
      <c r="D369" s="11"/>
      <c r="E369" s="11"/>
      <c r="F369" s="11"/>
      <c r="G369" s="11"/>
      <c r="H369" s="3">
        <f>IF(OR(F369="",F369=0),"לא","כן")</f>
      </c>
      <c r="I369" s="3">
        <f>IF(ISNUMBER(SEARCH(",",D369)),"כן","לא")</f>
      </c>
      <c r="J369" s="3">
        <f>IF(OR(ISNUMBER(SEARCH(",",D369)),ISNUMBER(SEARCH("קבוצות",G369))),"כן","לא")</f>
      </c>
    </row>
    <row r="370" spans="2:10" x14ac:dyDescent="0.25">
      <c r="B370" s="11"/>
      <c r="C370" s="11"/>
      <c r="D370" s="11"/>
      <c r="E370" s="11"/>
      <c r="F370" s="11"/>
      <c r="G370" s="11"/>
      <c r="H370" s="3">
        <f>IF(OR(F370="",F370=0),"לא","כן")</f>
      </c>
      <c r="I370" s="3">
        <f>IF(ISNUMBER(SEARCH(",",D370)),"כן","לא")</f>
      </c>
      <c r="J370" s="3">
        <f>IF(OR(ISNUMBER(SEARCH(",",D370)),ISNUMBER(SEARCH("קבוצות",G370))),"כן","לא")</f>
      </c>
    </row>
    <row r="371" spans="2:10" x14ac:dyDescent="0.25">
      <c r="B371" s="11"/>
      <c r="C371" s="11"/>
      <c r="D371" s="11"/>
      <c r="E371" s="11"/>
      <c r="F371" s="11"/>
      <c r="G371" s="11"/>
      <c r="H371" s="3">
        <f>IF(OR(F371="",F371=0),"לא","כן")</f>
      </c>
      <c r="I371" s="3">
        <f>IF(ISNUMBER(SEARCH(",",D371)),"כן","לא")</f>
      </c>
      <c r="J371" s="3">
        <f>IF(OR(ISNUMBER(SEARCH(",",D371)),ISNUMBER(SEARCH("קבוצות",G371))),"כן","לא")</f>
      </c>
    </row>
    <row r="372" spans="2:10" x14ac:dyDescent="0.25">
      <c r="B372" s="11"/>
      <c r="C372" s="11"/>
      <c r="D372" s="11"/>
      <c r="E372" s="11"/>
      <c r="F372" s="11"/>
      <c r="G372" s="11"/>
      <c r="H372" s="3">
        <f>IF(OR(F372="",F372=0),"לא","כן")</f>
      </c>
      <c r="I372" s="3">
        <f>IF(ISNUMBER(SEARCH(",",D372)),"כן","לא")</f>
      </c>
      <c r="J372" s="3">
        <f>IF(OR(ISNUMBER(SEARCH(",",D372)),ISNUMBER(SEARCH("קבוצות",G372))),"כן","לא")</f>
      </c>
    </row>
    <row r="373" spans="2:10" x14ac:dyDescent="0.25">
      <c r="B373" s="11"/>
      <c r="C373" s="11"/>
      <c r="D373" s="11"/>
      <c r="E373" s="11"/>
      <c r="F373" s="11"/>
      <c r="G373" s="11"/>
      <c r="H373" s="3">
        <f>IF(OR(F373="",F373=0),"לא","כן")</f>
      </c>
      <c r="I373" s="3">
        <f>IF(ISNUMBER(SEARCH(",",D373)),"כן","לא")</f>
      </c>
      <c r="J373" s="3">
        <f>IF(OR(ISNUMBER(SEARCH(",",D373)),ISNUMBER(SEARCH("קבוצות",G373))),"כן","לא")</f>
      </c>
    </row>
    <row r="374" spans="2:10" x14ac:dyDescent="0.25">
      <c r="B374" s="11"/>
      <c r="C374" s="11"/>
      <c r="D374" s="11"/>
      <c r="E374" s="11"/>
      <c r="F374" s="11"/>
      <c r="G374" s="11"/>
      <c r="H374" s="3">
        <f>IF(OR(F374="",F374=0),"לא","כן")</f>
      </c>
      <c r="I374" s="3">
        <f>IF(ISNUMBER(SEARCH(",",D374)),"כן","לא")</f>
      </c>
      <c r="J374" s="3">
        <f>IF(OR(ISNUMBER(SEARCH(",",D374)),ISNUMBER(SEARCH("קבוצות",G374))),"כן","לא")</f>
      </c>
    </row>
    <row r="375" spans="2:10" x14ac:dyDescent="0.25">
      <c r="B375" s="11"/>
      <c r="C375" s="11"/>
      <c r="D375" s="11"/>
      <c r="E375" s="11"/>
      <c r="F375" s="11"/>
      <c r="G375" s="11"/>
      <c r="H375" s="3">
        <f>IF(OR(F375="",F375=0),"לא","כן")</f>
      </c>
      <c r="I375" s="3">
        <f>IF(ISNUMBER(SEARCH(",",D375)),"כן","לא")</f>
      </c>
      <c r="J375" s="3">
        <f>IF(OR(ISNUMBER(SEARCH(",",D375)),ISNUMBER(SEARCH("קבוצות",G375))),"כן","לא")</f>
      </c>
    </row>
    <row r="376" spans="2:10" x14ac:dyDescent="0.25">
      <c r="B376" s="11"/>
      <c r="C376" s="11"/>
      <c r="D376" s="11"/>
      <c r="E376" s="11"/>
      <c r="F376" s="11"/>
      <c r="G376" s="11"/>
      <c r="H376" s="3">
        <f>IF(OR(F376="",F376=0),"לא","כן")</f>
      </c>
      <c r="I376" s="3">
        <f>IF(ISNUMBER(SEARCH(",",D376)),"כן","לא")</f>
      </c>
      <c r="J376" s="3">
        <f>IF(OR(ISNUMBER(SEARCH(",",D376)),ISNUMBER(SEARCH("קבוצות",G376))),"כן","לא")</f>
      </c>
    </row>
    <row r="377" spans="2:10" x14ac:dyDescent="0.25">
      <c r="B377" s="11"/>
      <c r="C377" s="11"/>
      <c r="D377" s="11"/>
      <c r="E377" s="11"/>
      <c r="F377" s="11"/>
      <c r="G377" s="11"/>
      <c r="H377" s="3">
        <f>IF(OR(F377="",F377=0),"לא","כן")</f>
      </c>
      <c r="I377" s="3">
        <f>IF(ISNUMBER(SEARCH(",",D377)),"כן","לא")</f>
      </c>
      <c r="J377" s="3">
        <f>IF(OR(ISNUMBER(SEARCH(",",D377)),ISNUMBER(SEARCH("קבוצות",G377))),"כן","לא")</f>
      </c>
    </row>
    <row r="378" spans="2:10" x14ac:dyDescent="0.25">
      <c r="B378" s="11"/>
      <c r="C378" s="11"/>
      <c r="D378" s="11"/>
      <c r="E378" s="11"/>
      <c r="F378" s="11"/>
      <c r="G378" s="11"/>
      <c r="H378" s="3">
        <f>IF(OR(F378="",F378=0),"לא","כן")</f>
      </c>
      <c r="I378" s="3">
        <f>IF(ISNUMBER(SEARCH(",",D378)),"כן","לא")</f>
      </c>
      <c r="J378" s="3">
        <f>IF(OR(ISNUMBER(SEARCH(",",D378)),ISNUMBER(SEARCH("קבוצות",G378))),"כן","לא")</f>
      </c>
    </row>
    <row r="379" spans="2:10" x14ac:dyDescent="0.25">
      <c r="B379" s="11"/>
      <c r="C379" s="11"/>
      <c r="D379" s="11"/>
      <c r="E379" s="11"/>
      <c r="F379" s="11"/>
      <c r="G379" s="11"/>
      <c r="H379" s="3">
        <f>IF(OR(F379="",F379=0),"לא","כן")</f>
      </c>
      <c r="I379" s="3">
        <f>IF(ISNUMBER(SEARCH(",",D379)),"כן","לא")</f>
      </c>
      <c r="J379" s="3">
        <f>IF(OR(ISNUMBER(SEARCH(",",D379)),ISNUMBER(SEARCH("קבוצות",G379))),"כן","לא")</f>
      </c>
    </row>
    <row r="380" spans="2:10" x14ac:dyDescent="0.25">
      <c r="B380" s="11"/>
      <c r="C380" s="11"/>
      <c r="D380" s="11"/>
      <c r="E380" s="11"/>
      <c r="F380" s="11"/>
      <c r="G380" s="11"/>
      <c r="H380" s="3">
        <f>IF(OR(F380="",F380=0),"לא","כן")</f>
      </c>
      <c r="I380" s="3">
        <f>IF(ISNUMBER(SEARCH(",",D380)),"כן","לא")</f>
      </c>
      <c r="J380" s="3">
        <f>IF(OR(ISNUMBER(SEARCH(",",D380)),ISNUMBER(SEARCH("קבוצות",G380))),"כן","לא")</f>
      </c>
    </row>
    <row r="381" spans="2:10" x14ac:dyDescent="0.25">
      <c r="B381" s="11"/>
      <c r="C381" s="11"/>
      <c r="D381" s="11"/>
      <c r="E381" s="11"/>
      <c r="F381" s="11"/>
      <c r="G381" s="11"/>
      <c r="H381" s="3">
        <f>IF(OR(F381="",F381=0),"לא","כן")</f>
      </c>
      <c r="I381" s="3">
        <f>IF(ISNUMBER(SEARCH(",",D381)),"כן","לא")</f>
      </c>
      <c r="J381" s="3">
        <f>IF(OR(ISNUMBER(SEARCH(",",D381)),ISNUMBER(SEARCH("קבוצות",G381))),"כן","לא")</f>
      </c>
    </row>
    <row r="382" spans="2:10" x14ac:dyDescent="0.25">
      <c r="B382" s="11"/>
      <c r="C382" s="11"/>
      <c r="D382" s="11"/>
      <c r="E382" s="11"/>
      <c r="F382" s="11"/>
      <c r="G382" s="11"/>
      <c r="H382" s="3">
        <f>IF(OR(F382="",F382=0),"לא","כן")</f>
      </c>
      <c r="I382" s="3">
        <f>IF(ISNUMBER(SEARCH(",",D382)),"כן","לא")</f>
      </c>
      <c r="J382" s="3">
        <f>IF(OR(ISNUMBER(SEARCH(",",D382)),ISNUMBER(SEARCH("קבוצות",G382))),"כן","לא")</f>
      </c>
    </row>
    <row r="383" spans="2:10" x14ac:dyDescent="0.25">
      <c r="B383" s="11"/>
      <c r="C383" s="11"/>
      <c r="D383" s="11"/>
      <c r="E383" s="11"/>
      <c r="F383" s="11"/>
      <c r="G383" s="11"/>
      <c r="H383" s="3">
        <f>IF(OR(F383="",F383=0),"לא","כן")</f>
      </c>
      <c r="I383" s="3">
        <f>IF(ISNUMBER(SEARCH(",",D383)),"כן","לא")</f>
      </c>
      <c r="J383" s="3">
        <f>IF(OR(ISNUMBER(SEARCH(",",D383)),ISNUMBER(SEARCH("קבוצות",G383))),"כן","לא")</f>
      </c>
    </row>
    <row r="384" spans="2:10" x14ac:dyDescent="0.25">
      <c r="B384" s="11"/>
      <c r="C384" s="11"/>
      <c r="D384" s="11"/>
      <c r="E384" s="11"/>
      <c r="F384" s="11"/>
      <c r="G384" s="11"/>
      <c r="H384" s="3">
        <f>IF(OR(F384="",F384=0),"לא","כן")</f>
      </c>
      <c r="I384" s="3">
        <f>IF(ISNUMBER(SEARCH(",",D384)),"כן","לא")</f>
      </c>
      <c r="J384" s="3">
        <f>IF(OR(ISNUMBER(SEARCH(",",D384)),ISNUMBER(SEARCH("קבוצות",G384))),"כן","לא")</f>
      </c>
    </row>
    <row r="385" spans="2:10" x14ac:dyDescent="0.25">
      <c r="B385" s="11"/>
      <c r="C385" s="11"/>
      <c r="D385" s="11"/>
      <c r="E385" s="11"/>
      <c r="F385" s="11"/>
      <c r="G385" s="11"/>
      <c r="H385" s="3">
        <f>IF(OR(F385="",F385=0),"לא","כן")</f>
      </c>
      <c r="I385" s="3">
        <f>IF(ISNUMBER(SEARCH(",",D385)),"כן","לא")</f>
      </c>
      <c r="J385" s="3">
        <f>IF(OR(ISNUMBER(SEARCH(",",D385)),ISNUMBER(SEARCH("קבוצות",G385))),"כן","לא")</f>
      </c>
    </row>
    <row r="386" spans="2:10" x14ac:dyDescent="0.25">
      <c r="B386" s="11"/>
      <c r="C386" s="11"/>
      <c r="D386" s="11"/>
      <c r="E386" s="11"/>
      <c r="F386" s="11"/>
      <c r="G386" s="11"/>
      <c r="H386" s="3">
        <f>IF(OR(F386="",F386=0),"לא","כן")</f>
      </c>
      <c r="I386" s="3">
        <f>IF(ISNUMBER(SEARCH(",",D386)),"כן","לא")</f>
      </c>
      <c r="J386" s="3">
        <f>IF(OR(ISNUMBER(SEARCH(",",D386)),ISNUMBER(SEARCH("קבוצות",G386))),"כן","לא")</f>
      </c>
    </row>
    <row r="387" spans="2:10" x14ac:dyDescent="0.25">
      <c r="B387" s="11"/>
      <c r="C387" s="11"/>
      <c r="D387" s="11"/>
      <c r="E387" s="11"/>
      <c r="F387" s="11"/>
      <c r="G387" s="11"/>
      <c r="H387" s="3">
        <f>IF(OR(F387="",F387=0),"לא","כן")</f>
      </c>
      <c r="I387" s="3">
        <f>IF(ISNUMBER(SEARCH(",",D387)),"כן","לא")</f>
      </c>
      <c r="J387" s="3">
        <f>IF(OR(ISNUMBER(SEARCH(",",D387)),ISNUMBER(SEARCH("קבוצות",G387))),"כן","לא")</f>
      </c>
    </row>
    <row r="388" spans="2:10" x14ac:dyDescent="0.25">
      <c r="B388" s="11"/>
      <c r="C388" s="11"/>
      <c r="D388" s="11"/>
      <c r="E388" s="11"/>
      <c r="F388" s="11"/>
      <c r="G388" s="11"/>
      <c r="H388" s="3">
        <f>IF(OR(F388="",F388=0),"לא","כן")</f>
      </c>
      <c r="I388" s="3">
        <f>IF(ISNUMBER(SEARCH(",",D388)),"כן","לא")</f>
      </c>
      <c r="J388" s="3">
        <f>IF(OR(ISNUMBER(SEARCH(",",D388)),ISNUMBER(SEARCH("קבוצות",G388))),"כן","לא")</f>
      </c>
    </row>
    <row r="389" spans="2:10" x14ac:dyDescent="0.25">
      <c r="B389" s="11"/>
      <c r="C389" s="11"/>
      <c r="D389" s="11"/>
      <c r="E389" s="11"/>
      <c r="F389" s="11"/>
      <c r="G389" s="11"/>
      <c r="H389" s="3">
        <f>IF(OR(F389="",F389=0),"לא","כן")</f>
      </c>
      <c r="I389" s="3">
        <f>IF(ISNUMBER(SEARCH(",",D389)),"כן","לא")</f>
      </c>
      <c r="J389" s="3">
        <f>IF(OR(ISNUMBER(SEARCH(",",D389)),ISNUMBER(SEARCH("קבוצות",G389))),"כן","לא")</f>
      </c>
    </row>
    <row r="390" spans="2:10" x14ac:dyDescent="0.25">
      <c r="B390" s="11"/>
      <c r="C390" s="11"/>
      <c r="D390" s="11"/>
      <c r="E390" s="11"/>
      <c r="F390" s="11"/>
      <c r="G390" s="11"/>
      <c r="H390" s="3">
        <f>IF(OR(F390="",F390=0),"לא","כן")</f>
      </c>
      <c r="I390" s="3">
        <f>IF(ISNUMBER(SEARCH(",",D390)),"כן","לא")</f>
      </c>
      <c r="J390" s="3">
        <f>IF(OR(ISNUMBER(SEARCH(",",D390)),ISNUMBER(SEARCH("קבוצות",G390))),"כן","לא")</f>
      </c>
    </row>
    <row r="391" spans="2:10" x14ac:dyDescent="0.25">
      <c r="B391" s="11"/>
      <c r="C391" s="11"/>
      <c r="D391" s="11"/>
      <c r="E391" s="11"/>
      <c r="F391" s="11"/>
      <c r="G391" s="11"/>
      <c r="H391" s="3">
        <f>IF(OR(F391="",F391=0),"לא","כן")</f>
      </c>
      <c r="I391" s="3">
        <f>IF(ISNUMBER(SEARCH(",",D391)),"כן","לא")</f>
      </c>
      <c r="J391" s="3">
        <f>IF(OR(ISNUMBER(SEARCH(",",D391)),ISNUMBER(SEARCH("קבוצות",G391))),"כן","לא")</f>
      </c>
    </row>
    <row r="392" spans="2:10" x14ac:dyDescent="0.25">
      <c r="B392" s="11"/>
      <c r="C392" s="11"/>
      <c r="D392" s="11"/>
      <c r="E392" s="11"/>
      <c r="F392" s="11"/>
      <c r="G392" s="11"/>
      <c r="H392" s="3">
        <f>IF(OR(F392="",F392=0),"לא","כן")</f>
      </c>
      <c r="I392" s="3">
        <f>IF(ISNUMBER(SEARCH(",",D392)),"כן","לא")</f>
      </c>
      <c r="J392" s="3">
        <f>IF(OR(ISNUMBER(SEARCH(",",D392)),ISNUMBER(SEARCH("קבוצות",G392))),"כן","לא")</f>
      </c>
    </row>
    <row r="393" spans="2:10" x14ac:dyDescent="0.25">
      <c r="B393" s="11"/>
      <c r="C393" s="11"/>
      <c r="D393" s="11"/>
      <c r="E393" s="11"/>
      <c r="F393" s="11"/>
      <c r="G393" s="11"/>
      <c r="H393" s="3">
        <f>IF(OR(F393="",F393=0),"לא","כן")</f>
      </c>
      <c r="I393" s="3">
        <f>IF(ISNUMBER(SEARCH(",",D393)),"כן","לא")</f>
      </c>
      <c r="J393" s="3">
        <f>IF(OR(ISNUMBER(SEARCH(",",D393)),ISNUMBER(SEARCH("קבוצות",G393))),"כן","לא")</f>
      </c>
    </row>
    <row r="394" spans="2:10" x14ac:dyDescent="0.25">
      <c r="B394" s="11"/>
      <c r="C394" s="11"/>
      <c r="D394" s="11"/>
      <c r="E394" s="11"/>
      <c r="F394" s="11"/>
      <c r="G394" s="11"/>
      <c r="H394" s="3">
        <f>IF(OR(F394="",F394=0),"לא","כן")</f>
      </c>
      <c r="I394" s="3">
        <f>IF(ISNUMBER(SEARCH(",",D394)),"כן","לא")</f>
      </c>
      <c r="J394" s="3">
        <f>IF(OR(ISNUMBER(SEARCH(",",D394)),ISNUMBER(SEARCH("קבוצות",G394))),"כן","לא")</f>
      </c>
    </row>
    <row r="395" spans="2:10" x14ac:dyDescent="0.25">
      <c r="B395" s="11"/>
      <c r="C395" s="11"/>
      <c r="D395" s="11"/>
      <c r="E395" s="11"/>
      <c r="F395" s="11"/>
      <c r="G395" s="11"/>
      <c r="H395" s="3">
        <f>IF(OR(F395="",F395=0),"לא","כן")</f>
      </c>
      <c r="I395" s="3">
        <f>IF(ISNUMBER(SEARCH(",",D395)),"כן","לא")</f>
      </c>
      <c r="J395" s="3">
        <f>IF(OR(ISNUMBER(SEARCH(",",D395)),ISNUMBER(SEARCH("קבוצות",G395))),"כן","לא")</f>
      </c>
    </row>
    <row r="396" spans="2:10" x14ac:dyDescent="0.25">
      <c r="B396" s="11"/>
      <c r="C396" s="11"/>
      <c r="D396" s="11"/>
      <c r="E396" s="11"/>
      <c r="F396" s="11"/>
      <c r="G396" s="11"/>
      <c r="H396" s="3">
        <f>IF(OR(F396="",F396=0),"לא","כן")</f>
      </c>
      <c r="I396" s="3">
        <f>IF(ISNUMBER(SEARCH(",",D396)),"כן","לא")</f>
      </c>
      <c r="J396" s="3">
        <f>IF(OR(ISNUMBER(SEARCH(",",D396)),ISNUMBER(SEARCH("קבוצות",G396))),"כן","לא")</f>
      </c>
    </row>
    <row r="397" spans="2:10" x14ac:dyDescent="0.25">
      <c r="B397" s="11"/>
      <c r="C397" s="11"/>
      <c r="D397" s="11"/>
      <c r="E397" s="11"/>
      <c r="F397" s="11"/>
      <c r="G397" s="11"/>
      <c r="H397" s="3">
        <f>IF(OR(F397="",F397=0),"לא","כן")</f>
      </c>
      <c r="I397" s="3">
        <f>IF(ISNUMBER(SEARCH(",",D397)),"כן","לא")</f>
      </c>
      <c r="J397" s="3">
        <f>IF(OR(ISNUMBER(SEARCH(",",D397)),ISNUMBER(SEARCH("קבוצות",G397))),"כן","לא")</f>
      </c>
    </row>
    <row r="398" spans="2:10" x14ac:dyDescent="0.25">
      <c r="B398" s="11"/>
      <c r="C398" s="11"/>
      <c r="D398" s="11"/>
      <c r="E398" s="11"/>
      <c r="F398" s="11"/>
      <c r="G398" s="11"/>
      <c r="H398" s="3">
        <f>IF(OR(F398="",F398=0),"לא","כן")</f>
      </c>
      <c r="I398" s="3">
        <f>IF(ISNUMBER(SEARCH(",",D398)),"כן","לא")</f>
      </c>
      <c r="J398" s="3">
        <f>IF(OR(ISNUMBER(SEARCH(",",D398)),ISNUMBER(SEARCH("קבוצות",G398))),"כן","לא")</f>
      </c>
    </row>
    <row r="399" spans="2:10" x14ac:dyDescent="0.25">
      <c r="B399" s="11"/>
      <c r="C399" s="11"/>
      <c r="D399" s="11"/>
      <c r="E399" s="11"/>
      <c r="F399" s="11"/>
      <c r="G399" s="11"/>
      <c r="H399" s="3">
        <f>IF(OR(F399="",F399=0),"לא","כן")</f>
      </c>
      <c r="I399" s="3">
        <f>IF(ISNUMBER(SEARCH(",",D399)),"כן","לא")</f>
      </c>
      <c r="J399" s="3">
        <f>IF(OR(ISNUMBER(SEARCH(",",D399)),ISNUMBER(SEARCH("קבוצות",G399))),"כן","לא")</f>
      </c>
    </row>
    <row r="400" spans="2:10" x14ac:dyDescent="0.25">
      <c r="B400" s="11"/>
      <c r="C400" s="11"/>
      <c r="D400" s="11"/>
      <c r="E400" s="11"/>
      <c r="F400" s="11"/>
      <c r="G400" s="11"/>
      <c r="H400" s="3">
        <f>IF(OR(F400="",F400=0),"לא","כן")</f>
      </c>
      <c r="I400" s="3">
        <f>IF(ISNUMBER(SEARCH(",",D400)),"כן","לא")</f>
      </c>
      <c r="J400" s="3">
        <f>IF(OR(ISNUMBER(SEARCH(",",D400)),ISNUMBER(SEARCH("קבוצות",G400))),"כן","לא")</f>
      </c>
    </row>
    <row r="401" spans="2:10" x14ac:dyDescent="0.25">
      <c r="B401" s="11"/>
      <c r="C401" s="11"/>
      <c r="D401" s="11"/>
      <c r="E401" s="11"/>
      <c r="F401" s="11"/>
      <c r="G401" s="11"/>
      <c r="H401" s="3">
        <f>IF(OR(F401="",F401=0),"לא","כן")</f>
      </c>
      <c r="I401" s="3">
        <f>IF(ISNUMBER(SEARCH(",",D401)),"כן","לא")</f>
      </c>
      <c r="J401" s="3">
        <f>IF(OR(ISNUMBER(SEARCH(",",D401)),ISNUMBER(SEARCH("קבוצות",G401))),"כן","לא")</f>
      </c>
    </row>
    <row r="402" spans="2:10" x14ac:dyDescent="0.25">
      <c r="B402" s="11"/>
      <c r="C402" s="11"/>
      <c r="D402" s="11"/>
      <c r="E402" s="11"/>
      <c r="F402" s="11"/>
      <c r="G402" s="11"/>
      <c r="H402" s="3">
        <f>IF(OR(F402="",F402=0),"לא","כן")</f>
      </c>
      <c r="I402" s="3">
        <f>IF(ISNUMBER(SEARCH(",",D402)),"כן","לא")</f>
      </c>
      <c r="J402" s="3">
        <f>IF(OR(ISNUMBER(SEARCH(",",D402)),ISNUMBER(SEARCH("קבוצות",G402))),"כן","לא")</f>
      </c>
    </row>
    <row r="403" spans="2:10" x14ac:dyDescent="0.25">
      <c r="B403" s="11"/>
      <c r="C403" s="11"/>
      <c r="D403" s="11"/>
      <c r="E403" s="11"/>
      <c r="F403" s="11"/>
      <c r="G403" s="11"/>
      <c r="H403" s="3">
        <f>IF(OR(F403="",F403=0),"לא","כן")</f>
      </c>
      <c r="I403" s="3">
        <f>IF(ISNUMBER(SEARCH(",",D403)),"כן","לא")</f>
      </c>
      <c r="J403" s="3">
        <f>IF(OR(ISNUMBER(SEARCH(",",D403)),ISNUMBER(SEARCH("קבוצות",G403))),"כן","לא")</f>
      </c>
    </row>
    <row r="404" spans="2:10" x14ac:dyDescent="0.25">
      <c r="B404" s="11"/>
      <c r="C404" s="11"/>
      <c r="D404" s="11"/>
      <c r="E404" s="11"/>
      <c r="F404" s="11"/>
      <c r="G404" s="11"/>
      <c r="H404" s="3">
        <f>IF(OR(F404="",F404=0),"לא","כן")</f>
      </c>
      <c r="I404" s="3">
        <f>IF(ISNUMBER(SEARCH(",",D404)),"כן","לא")</f>
      </c>
      <c r="J404" s="3">
        <f>IF(OR(ISNUMBER(SEARCH(",",D404)),ISNUMBER(SEARCH("קבוצות",G404))),"כן","לא")</f>
      </c>
    </row>
    <row r="405" spans="2:10" x14ac:dyDescent="0.25">
      <c r="B405" s="11"/>
      <c r="C405" s="11"/>
      <c r="D405" s="11"/>
      <c r="E405" s="11"/>
      <c r="F405" s="11"/>
      <c r="G405" s="11"/>
      <c r="H405" s="3">
        <f>IF(OR(F405="",F405=0),"לא","כן")</f>
      </c>
      <c r="I405" s="3">
        <f>IF(ISNUMBER(SEARCH(",",D405)),"כן","לא")</f>
      </c>
      <c r="J405" s="3">
        <f>IF(OR(ISNUMBER(SEARCH(",",D405)),ISNUMBER(SEARCH("קבוצות",G405))),"כן","לא")</f>
      </c>
    </row>
    <row r="406" spans="2:10" x14ac:dyDescent="0.25">
      <c r="B406" s="11"/>
      <c r="C406" s="11"/>
      <c r="D406" s="11"/>
      <c r="E406" s="11"/>
      <c r="F406" s="11"/>
      <c r="G406" s="11"/>
      <c r="H406" s="3">
        <f>IF(OR(F406="",F406=0),"לא","כן")</f>
      </c>
      <c r="I406" s="3">
        <f>IF(ISNUMBER(SEARCH(",",D406)),"כן","לא")</f>
      </c>
      <c r="J406" s="3">
        <f>IF(OR(ISNUMBER(SEARCH(",",D406)),ISNUMBER(SEARCH("קבוצות",G406))),"כן","לא")</f>
      </c>
    </row>
    <row r="407" spans="2:10" x14ac:dyDescent="0.25">
      <c r="B407" s="11"/>
      <c r="C407" s="11"/>
      <c r="D407" s="11"/>
      <c r="E407" s="11"/>
      <c r="F407" s="11"/>
      <c r="G407" s="11"/>
      <c r="H407" s="3">
        <f>IF(OR(F407="",F407=0),"לא","כן")</f>
      </c>
      <c r="I407" s="3">
        <f>IF(ISNUMBER(SEARCH(",",D407)),"כן","לא")</f>
      </c>
      <c r="J407" s="3">
        <f>IF(OR(ISNUMBER(SEARCH(",",D407)),ISNUMBER(SEARCH("קבוצות",G407))),"כן","לא")</f>
      </c>
    </row>
    <row r="408" spans="2:10" x14ac:dyDescent="0.25">
      <c r="B408" s="11"/>
      <c r="C408" s="11"/>
      <c r="D408" s="11"/>
      <c r="E408" s="11"/>
      <c r="F408" s="11"/>
      <c r="G408" s="11"/>
      <c r="H408" s="3">
        <f>IF(OR(F408="",F408=0),"לא","כן")</f>
      </c>
      <c r="I408" s="3">
        <f>IF(ISNUMBER(SEARCH(",",D408)),"כן","לא")</f>
      </c>
      <c r="J408" s="3">
        <f>IF(OR(ISNUMBER(SEARCH(",",D408)),ISNUMBER(SEARCH("קבוצות",G408))),"כן","לא")</f>
      </c>
    </row>
    <row r="409" spans="2:10" x14ac:dyDescent="0.25">
      <c r="B409" s="11"/>
      <c r="C409" s="11"/>
      <c r="D409" s="11"/>
      <c r="E409" s="11"/>
      <c r="F409" s="11"/>
      <c r="G409" s="11"/>
      <c r="H409" s="3">
        <f>IF(OR(F409="",F409=0),"לא","כן")</f>
      </c>
      <c r="I409" s="3">
        <f>IF(ISNUMBER(SEARCH(",",D409)),"כן","לא")</f>
      </c>
      <c r="J409" s="3">
        <f>IF(OR(ISNUMBER(SEARCH(",",D409)),ISNUMBER(SEARCH("קבוצות",G409))),"כן","לא")</f>
      </c>
    </row>
    <row r="410" spans="2:10" x14ac:dyDescent="0.25">
      <c r="B410" s="11"/>
      <c r="C410" s="11"/>
      <c r="D410" s="11"/>
      <c r="E410" s="11"/>
      <c r="F410" s="11"/>
      <c r="G410" s="11"/>
      <c r="H410" s="3">
        <f>IF(OR(F410="",F410=0),"לא","כן")</f>
      </c>
      <c r="I410" s="3">
        <f>IF(ISNUMBER(SEARCH(",",D410)),"כן","לא")</f>
      </c>
      <c r="J410" s="3">
        <f>IF(OR(ISNUMBER(SEARCH(",",D410)),ISNUMBER(SEARCH("קבוצות",G410))),"כן","לא")</f>
      </c>
    </row>
    <row r="411" spans="2:10" x14ac:dyDescent="0.25">
      <c r="B411" s="11"/>
      <c r="C411" s="11"/>
      <c r="D411" s="11"/>
      <c r="E411" s="11"/>
      <c r="F411" s="11"/>
      <c r="G411" s="11"/>
      <c r="H411" s="3">
        <f>IF(OR(F411="",F411=0),"לא","כן")</f>
      </c>
      <c r="I411" s="3">
        <f>IF(ISNUMBER(SEARCH(",",D411)),"כן","לא")</f>
      </c>
      <c r="J411" s="3">
        <f>IF(OR(ISNUMBER(SEARCH(",",D411)),ISNUMBER(SEARCH("קבוצות",G411))),"כן","לא")</f>
      </c>
    </row>
    <row r="412" spans="2:10" x14ac:dyDescent="0.25">
      <c r="B412" s="11"/>
      <c r="C412" s="11"/>
      <c r="D412" s="11"/>
      <c r="E412" s="11"/>
      <c r="F412" s="11"/>
      <c r="G412" s="11"/>
      <c r="H412" s="3">
        <f>IF(OR(F412="",F412=0),"לא","כן")</f>
      </c>
      <c r="I412" s="3">
        <f>IF(ISNUMBER(SEARCH(",",D412)),"כן","לא")</f>
      </c>
      <c r="J412" s="3">
        <f>IF(OR(ISNUMBER(SEARCH(",",D412)),ISNUMBER(SEARCH("קבוצות",G412))),"כן","לא")</f>
      </c>
    </row>
    <row r="413" spans="2:10" x14ac:dyDescent="0.25">
      <c r="B413" s="11"/>
      <c r="C413" s="11"/>
      <c r="D413" s="11"/>
      <c r="E413" s="11"/>
      <c r="F413" s="11"/>
      <c r="G413" s="11"/>
      <c r="H413" s="3">
        <f>IF(OR(F413="",F413=0),"לא","כן")</f>
      </c>
      <c r="I413" s="3">
        <f>IF(ISNUMBER(SEARCH(",",D413)),"כן","לא")</f>
      </c>
      <c r="J413" s="3">
        <f>IF(OR(ISNUMBER(SEARCH(",",D413)),ISNUMBER(SEARCH("קבוצות",G413))),"כן","לא")</f>
      </c>
    </row>
    <row r="414" spans="2:10" x14ac:dyDescent="0.25">
      <c r="B414" s="11"/>
      <c r="C414" s="11"/>
      <c r="D414" s="11"/>
      <c r="E414" s="11"/>
      <c r="F414" s="11"/>
      <c r="G414" s="11"/>
      <c r="H414" s="3">
        <f>IF(OR(F414="",F414=0),"לא","כן")</f>
      </c>
      <c r="I414" s="3">
        <f>IF(ISNUMBER(SEARCH(",",D414)),"כן","לא")</f>
      </c>
      <c r="J414" s="3">
        <f>IF(OR(ISNUMBER(SEARCH(",",D414)),ISNUMBER(SEARCH("קבוצות",G414))),"כן","לא")</f>
      </c>
    </row>
    <row r="415" spans="2:10" x14ac:dyDescent="0.25">
      <c r="B415" s="11"/>
      <c r="C415" s="11"/>
      <c r="D415" s="11"/>
      <c r="E415" s="11"/>
      <c r="F415" s="11"/>
      <c r="G415" s="11"/>
      <c r="H415" s="3">
        <f>IF(OR(F415="",F415=0),"לא","כן")</f>
      </c>
      <c r="I415" s="3">
        <f>IF(ISNUMBER(SEARCH(",",D415)),"כן","לא")</f>
      </c>
      <c r="J415" s="3">
        <f>IF(OR(ISNUMBER(SEARCH(",",D415)),ISNUMBER(SEARCH("קבוצות",G415))),"כן","לא")</f>
      </c>
    </row>
    <row r="416" spans="2:10" x14ac:dyDescent="0.25">
      <c r="B416" s="11"/>
      <c r="C416" s="11"/>
      <c r="D416" s="11"/>
      <c r="E416" s="11"/>
      <c r="F416" s="11"/>
      <c r="G416" s="11"/>
      <c r="H416" s="3">
        <f>IF(OR(F416="",F416=0),"לא","כן")</f>
      </c>
      <c r="I416" s="3">
        <f>IF(ISNUMBER(SEARCH(",",D416)),"כן","לא")</f>
      </c>
      <c r="J416" s="3">
        <f>IF(OR(ISNUMBER(SEARCH(",",D416)),ISNUMBER(SEARCH("קבוצות",G416))),"כן","לא")</f>
      </c>
    </row>
    <row r="417" spans="2:10" x14ac:dyDescent="0.25">
      <c r="B417" s="11"/>
      <c r="C417" s="11"/>
      <c r="D417" s="11"/>
      <c r="E417" s="11"/>
      <c r="F417" s="11"/>
      <c r="G417" s="11"/>
      <c r="H417" s="3">
        <f>IF(OR(F417="",F417=0),"לא","כן")</f>
      </c>
      <c r="I417" s="3">
        <f>IF(ISNUMBER(SEARCH(",",D417)),"כן","לא")</f>
      </c>
      <c r="J417" s="3">
        <f>IF(OR(ISNUMBER(SEARCH(",",D417)),ISNUMBER(SEARCH("קבוצות",G417))),"כן","לא")</f>
      </c>
    </row>
    <row r="418" spans="2:10" x14ac:dyDescent="0.25">
      <c r="B418" s="11"/>
      <c r="C418" s="11"/>
      <c r="D418" s="11"/>
      <c r="E418" s="11"/>
      <c r="F418" s="11"/>
      <c r="G418" s="11"/>
      <c r="H418" s="3">
        <f>IF(OR(F418="",F418=0),"לא","כן")</f>
      </c>
      <c r="I418" s="3">
        <f>IF(ISNUMBER(SEARCH(",",D418)),"כן","לא")</f>
      </c>
      <c r="J418" s="3">
        <f>IF(OR(ISNUMBER(SEARCH(",",D418)),ISNUMBER(SEARCH("קבוצות",G418))),"כן","לא")</f>
      </c>
    </row>
    <row r="419" spans="2:10" x14ac:dyDescent="0.25">
      <c r="B419" s="11"/>
      <c r="C419" s="11"/>
      <c r="D419" s="11"/>
      <c r="E419" s="11"/>
      <c r="F419" s="11"/>
      <c r="G419" s="11"/>
      <c r="H419" s="3">
        <f>IF(OR(F419="",F419=0),"לא","כן")</f>
      </c>
      <c r="I419" s="3">
        <f>IF(ISNUMBER(SEARCH(",",D419)),"כן","לא")</f>
      </c>
      <c r="J419" s="3">
        <f>IF(OR(ISNUMBER(SEARCH(",",D419)),ISNUMBER(SEARCH("קבוצות",G419))),"כן","לא")</f>
      </c>
    </row>
    <row r="420" spans="2:10" x14ac:dyDescent="0.25">
      <c r="B420" s="11"/>
      <c r="C420" s="11"/>
      <c r="D420" s="11"/>
      <c r="E420" s="11"/>
      <c r="F420" s="11"/>
      <c r="G420" s="11"/>
      <c r="H420" s="3">
        <f>IF(OR(F420="",F420=0),"לא","כן")</f>
      </c>
      <c r="I420" s="3">
        <f>IF(ISNUMBER(SEARCH(",",D420)),"כן","לא")</f>
      </c>
      <c r="J420" s="3">
        <f>IF(OR(ISNUMBER(SEARCH(",",D420)),ISNUMBER(SEARCH("קבוצות",G420))),"כן","לא")</f>
      </c>
    </row>
    <row r="421" spans="2:10" x14ac:dyDescent="0.25">
      <c r="B421" s="11"/>
      <c r="C421" s="11"/>
      <c r="D421" s="11"/>
      <c r="E421" s="11"/>
      <c r="F421" s="11"/>
      <c r="G421" s="11"/>
      <c r="H421" s="3">
        <f>IF(OR(F421="",F421=0),"לא","כן")</f>
      </c>
      <c r="I421" s="3">
        <f>IF(ISNUMBER(SEARCH(",",D421)),"כן","לא")</f>
      </c>
      <c r="J421" s="3">
        <f>IF(OR(ISNUMBER(SEARCH(",",D421)),ISNUMBER(SEARCH("קבוצות",G421))),"כן","לא")</f>
      </c>
    </row>
    <row r="422" spans="2:10" x14ac:dyDescent="0.25">
      <c r="B422" s="11"/>
      <c r="C422" s="11"/>
      <c r="D422" s="11"/>
      <c r="E422" s="11"/>
      <c r="F422" s="11"/>
      <c r="G422" s="11"/>
      <c r="H422" s="3">
        <f>IF(OR(F422="",F422=0),"לא","כן")</f>
      </c>
      <c r="I422" s="3">
        <f>IF(ISNUMBER(SEARCH(",",D422)),"כן","לא")</f>
      </c>
      <c r="J422" s="3">
        <f>IF(OR(ISNUMBER(SEARCH(",",D422)),ISNUMBER(SEARCH("קבוצות",G422))),"כן","לא")</f>
      </c>
    </row>
    <row r="423" spans="2:10" x14ac:dyDescent="0.25">
      <c r="B423" s="11"/>
      <c r="C423" s="11"/>
      <c r="D423" s="11"/>
      <c r="E423" s="11"/>
      <c r="F423" s="11"/>
      <c r="G423" s="11"/>
      <c r="H423" s="3">
        <f>IF(OR(F423="",F423=0),"לא","כן")</f>
      </c>
      <c r="I423" s="3">
        <f>IF(ISNUMBER(SEARCH(",",D423)),"כן","לא")</f>
      </c>
      <c r="J423" s="3">
        <f>IF(OR(ISNUMBER(SEARCH(",",D423)),ISNUMBER(SEARCH("קבוצות",G423))),"כן","לא")</f>
      </c>
    </row>
    <row r="424" spans="2:10" x14ac:dyDescent="0.25">
      <c r="B424" s="11"/>
      <c r="C424" s="11"/>
      <c r="D424" s="11"/>
      <c r="E424" s="11"/>
      <c r="F424" s="11"/>
      <c r="G424" s="11"/>
      <c r="H424" s="3">
        <f>IF(OR(F424="",F424=0),"לא","כן")</f>
      </c>
      <c r="I424" s="3">
        <f>IF(ISNUMBER(SEARCH(",",D424)),"כן","לא")</f>
      </c>
      <c r="J424" s="3">
        <f>IF(OR(ISNUMBER(SEARCH(",",D424)),ISNUMBER(SEARCH("קבוצות",G424))),"כן","לא")</f>
      </c>
    </row>
    <row r="425" spans="2:10" x14ac:dyDescent="0.25">
      <c r="B425" s="11"/>
      <c r="C425" s="11"/>
      <c r="D425" s="11"/>
      <c r="E425" s="11"/>
      <c r="F425" s="11"/>
      <c r="G425" s="11"/>
      <c r="H425" s="3">
        <f>IF(OR(F425="",F425=0),"לא","כן")</f>
      </c>
      <c r="I425" s="3">
        <f>IF(ISNUMBER(SEARCH(",",D425)),"כן","לא")</f>
      </c>
      <c r="J425" s="3">
        <f>IF(OR(ISNUMBER(SEARCH(",",D425)),ISNUMBER(SEARCH("קבוצות",G425))),"כן","לא")</f>
      </c>
    </row>
    <row r="426" spans="2:10" x14ac:dyDescent="0.25">
      <c r="B426" s="11"/>
      <c r="C426" s="11"/>
      <c r="D426" s="11"/>
      <c r="E426" s="11"/>
      <c r="F426" s="11"/>
      <c r="G426" s="11"/>
      <c r="H426" s="3">
        <f>IF(OR(F426="",F426=0),"לא","כן")</f>
      </c>
      <c r="I426" s="3">
        <f>IF(ISNUMBER(SEARCH(",",D426)),"כן","לא")</f>
      </c>
      <c r="J426" s="3">
        <f>IF(OR(ISNUMBER(SEARCH(",",D426)),ISNUMBER(SEARCH("קבוצות",G426))),"כן","לא")</f>
      </c>
    </row>
    <row r="427" spans="2:10" x14ac:dyDescent="0.25">
      <c r="B427" s="11"/>
      <c r="C427" s="11"/>
      <c r="D427" s="11"/>
      <c r="E427" s="11"/>
      <c r="F427" s="11"/>
      <c r="G427" s="11"/>
      <c r="H427" s="3">
        <f>IF(OR(F427="",F427=0),"לא","כן")</f>
      </c>
      <c r="I427" s="3">
        <f>IF(ISNUMBER(SEARCH(",",D427)),"כן","לא")</f>
      </c>
      <c r="J427" s="3">
        <f>IF(OR(ISNUMBER(SEARCH(",",D427)),ISNUMBER(SEARCH("קבוצות",G427))),"כן","לא")</f>
      </c>
    </row>
    <row r="428" spans="2:10" x14ac:dyDescent="0.25">
      <c r="B428" s="11"/>
      <c r="C428" s="11"/>
      <c r="D428" s="11"/>
      <c r="E428" s="11"/>
      <c r="F428" s="11"/>
      <c r="G428" s="11"/>
      <c r="H428" s="3">
        <f>IF(OR(F428="",F428=0),"לא","כן")</f>
      </c>
      <c r="I428" s="3">
        <f>IF(ISNUMBER(SEARCH(",",D428)),"כן","לא")</f>
      </c>
      <c r="J428" s="3">
        <f>IF(OR(ISNUMBER(SEARCH(",",D428)),ISNUMBER(SEARCH("קבוצות",G428))),"כן","לא")</f>
      </c>
    </row>
    <row r="429" spans="2:10" x14ac:dyDescent="0.25">
      <c r="B429" s="11"/>
      <c r="C429" s="11"/>
      <c r="D429" s="11"/>
      <c r="E429" s="11"/>
      <c r="F429" s="11"/>
      <c r="G429" s="11"/>
      <c r="H429" s="3">
        <f>IF(OR(F429="",F429=0),"לא","כן")</f>
      </c>
      <c r="I429" s="3">
        <f>IF(ISNUMBER(SEARCH(",",D429)),"כן","לא")</f>
      </c>
      <c r="J429" s="3">
        <f>IF(OR(ISNUMBER(SEARCH(",",D429)),ISNUMBER(SEARCH("קבוצות",G429))),"כן","לא")</f>
      </c>
    </row>
    <row r="430" spans="2:10" x14ac:dyDescent="0.25">
      <c r="B430" s="11"/>
      <c r="C430" s="11"/>
      <c r="D430" s="11"/>
      <c r="E430" s="11"/>
      <c r="F430" s="11"/>
      <c r="G430" s="11"/>
      <c r="H430" s="3">
        <f>IF(OR(F430="",F430=0),"לא","כן")</f>
      </c>
      <c r="I430" s="3">
        <f>IF(ISNUMBER(SEARCH(",",D430)),"כן","לא")</f>
      </c>
      <c r="J430" s="3">
        <f>IF(OR(ISNUMBER(SEARCH(",",D430)),ISNUMBER(SEARCH("קבוצות",G430))),"כן","לא")</f>
      </c>
    </row>
    <row r="431" spans="2:10" x14ac:dyDescent="0.25">
      <c r="B431" s="11"/>
      <c r="C431" s="11"/>
      <c r="D431" s="11"/>
      <c r="E431" s="11"/>
      <c r="F431" s="11"/>
      <c r="G431" s="11"/>
      <c r="H431" s="3">
        <f>IF(OR(F431="",F431=0),"לא","כן")</f>
      </c>
      <c r="I431" s="3">
        <f>IF(ISNUMBER(SEARCH(",",D431)),"כן","לא")</f>
      </c>
      <c r="J431" s="3">
        <f>IF(OR(ISNUMBER(SEARCH(",",D431)),ISNUMBER(SEARCH("קבוצות",G431))),"כן","לא")</f>
      </c>
    </row>
    <row r="432" spans="2:10" x14ac:dyDescent="0.25">
      <c r="B432" s="11"/>
      <c r="C432" s="11"/>
      <c r="D432" s="11"/>
      <c r="E432" s="11"/>
      <c r="F432" s="11"/>
      <c r="G432" s="11"/>
      <c r="H432" s="3">
        <f>IF(OR(F432="",F432=0),"לא","כן")</f>
      </c>
      <c r="I432" s="3">
        <f>IF(ISNUMBER(SEARCH(",",D432)),"כן","לא")</f>
      </c>
      <c r="J432" s="3">
        <f>IF(OR(ISNUMBER(SEARCH(",",D432)),ISNUMBER(SEARCH("קבוצות",G432))),"כן","לא")</f>
      </c>
    </row>
    <row r="433" spans="2:10" x14ac:dyDescent="0.25">
      <c r="B433" s="11"/>
      <c r="C433" s="11"/>
      <c r="D433" s="11"/>
      <c r="E433" s="11"/>
      <c r="F433" s="11"/>
      <c r="G433" s="11"/>
      <c r="H433" s="3">
        <f>IF(OR(F433="",F433=0),"לא","כן")</f>
      </c>
      <c r="I433" s="3">
        <f>IF(ISNUMBER(SEARCH(",",D433)),"כן","לא")</f>
      </c>
      <c r="J433" s="3">
        <f>IF(OR(ISNUMBER(SEARCH(",",D433)),ISNUMBER(SEARCH("קבוצות",G433))),"כן","לא")</f>
      </c>
    </row>
    <row r="434" spans="2:10" x14ac:dyDescent="0.25">
      <c r="B434" s="11"/>
      <c r="C434" s="11"/>
      <c r="D434" s="11"/>
      <c r="E434" s="11"/>
      <c r="F434" s="11"/>
      <c r="G434" s="11"/>
      <c r="H434" s="3">
        <f>IF(OR(F434="",F434=0),"לא","כן")</f>
      </c>
      <c r="I434" s="3">
        <f>IF(ISNUMBER(SEARCH(",",D434)),"כן","לא")</f>
      </c>
      <c r="J434" s="3">
        <f>IF(OR(ISNUMBER(SEARCH(",",D434)),ISNUMBER(SEARCH("קבוצות",G434))),"כן","לא")</f>
      </c>
    </row>
    <row r="435" spans="2:10" x14ac:dyDescent="0.25">
      <c r="B435" s="11"/>
      <c r="C435" s="11"/>
      <c r="D435" s="11"/>
      <c r="E435" s="11"/>
      <c r="F435" s="11"/>
      <c r="G435" s="11"/>
      <c r="H435" s="3">
        <f>IF(OR(F435="",F435=0),"לא","כן")</f>
      </c>
      <c r="I435" s="3">
        <f>IF(ISNUMBER(SEARCH(",",D435)),"כן","לא")</f>
      </c>
      <c r="J435" s="3">
        <f>IF(OR(ISNUMBER(SEARCH(",",D435)),ISNUMBER(SEARCH("קבוצות",G435))),"כן","לא")</f>
      </c>
    </row>
    <row r="436" spans="2:10" x14ac:dyDescent="0.25">
      <c r="B436" s="11"/>
      <c r="C436" s="11"/>
      <c r="D436" s="11"/>
      <c r="E436" s="11"/>
      <c r="F436" s="11"/>
      <c r="G436" s="11"/>
      <c r="H436" s="3">
        <f>IF(OR(F436="",F436=0),"לא","כן")</f>
      </c>
      <c r="I436" s="3">
        <f>IF(ISNUMBER(SEARCH(",",D436)),"כן","לא")</f>
      </c>
      <c r="J436" s="3">
        <f>IF(OR(ISNUMBER(SEARCH(",",D436)),ISNUMBER(SEARCH("קבוצות",G436))),"כן","לא")</f>
      </c>
    </row>
    <row r="437" spans="2:10" x14ac:dyDescent="0.25">
      <c r="B437" s="11"/>
      <c r="C437" s="11"/>
      <c r="D437" s="11"/>
      <c r="E437" s="11"/>
      <c r="F437" s="11"/>
      <c r="G437" s="11"/>
      <c r="H437" s="3">
        <f>IF(OR(F437="",F437=0),"לא","כן")</f>
      </c>
      <c r="I437" s="3">
        <f>IF(ISNUMBER(SEARCH(",",D437)),"כן","לא")</f>
      </c>
      <c r="J437" s="3">
        <f>IF(OR(ISNUMBER(SEARCH(",",D437)),ISNUMBER(SEARCH("קבוצות",G437))),"כן","לא")</f>
      </c>
    </row>
    <row r="438" spans="2:10" x14ac:dyDescent="0.25">
      <c r="B438" s="11"/>
      <c r="C438" s="11"/>
      <c r="D438" s="11"/>
      <c r="E438" s="11"/>
      <c r="F438" s="11"/>
      <c r="G438" s="11"/>
      <c r="H438" s="3">
        <f>IF(OR(F438="",F438=0),"לא","כן")</f>
      </c>
      <c r="I438" s="3">
        <f>IF(ISNUMBER(SEARCH(",",D438)),"כן","לא")</f>
      </c>
      <c r="J438" s="3">
        <f>IF(OR(ISNUMBER(SEARCH(",",D438)),ISNUMBER(SEARCH("קבוצות",G438))),"כן","לא")</f>
      </c>
    </row>
    <row r="439" spans="2:10" x14ac:dyDescent="0.25">
      <c r="B439" s="11"/>
      <c r="C439" s="11"/>
      <c r="D439" s="11"/>
      <c r="E439" s="11"/>
      <c r="F439" s="11"/>
      <c r="G439" s="11"/>
      <c r="H439" s="3">
        <f>IF(OR(F439="",F439=0),"לא","כן")</f>
      </c>
      <c r="I439" s="3">
        <f>IF(ISNUMBER(SEARCH(",",D439)),"כן","לא")</f>
      </c>
      <c r="J439" s="3">
        <f>IF(OR(ISNUMBER(SEARCH(",",D439)),ISNUMBER(SEARCH("קבוצות",G439))),"כן","לא")</f>
      </c>
    </row>
    <row r="440" spans="2:10" x14ac:dyDescent="0.25">
      <c r="B440" s="11"/>
      <c r="C440" s="11"/>
      <c r="D440" s="11"/>
      <c r="E440" s="11"/>
      <c r="F440" s="11"/>
      <c r="G440" s="11"/>
      <c r="H440" s="3">
        <f>IF(OR(F440="",F440=0),"לא","כן")</f>
      </c>
      <c r="I440" s="3">
        <f>IF(ISNUMBER(SEARCH(",",D440)),"כן","לא")</f>
      </c>
      <c r="J440" s="3">
        <f>IF(OR(ISNUMBER(SEARCH(",",D440)),ISNUMBER(SEARCH("קבוצות",G440))),"כן","לא")</f>
      </c>
    </row>
    <row r="441" spans="2:10" x14ac:dyDescent="0.25">
      <c r="B441" s="11"/>
      <c r="C441" s="11"/>
      <c r="D441" s="11"/>
      <c r="E441" s="11"/>
      <c r="F441" s="11"/>
      <c r="G441" s="11"/>
      <c r="H441" s="3">
        <f>IF(OR(F441="",F441=0),"לא","כן")</f>
      </c>
      <c r="I441" s="3">
        <f>IF(ISNUMBER(SEARCH(",",D441)),"כן","לא")</f>
      </c>
      <c r="J441" s="3">
        <f>IF(OR(ISNUMBER(SEARCH(",",D441)),ISNUMBER(SEARCH("קבוצות",G441))),"כן","לא")</f>
      </c>
    </row>
    <row r="442" spans="2:10" x14ac:dyDescent="0.25">
      <c r="B442" s="11"/>
      <c r="C442" s="11"/>
      <c r="D442" s="11"/>
      <c r="E442" s="11"/>
      <c r="F442" s="11"/>
      <c r="G442" s="11"/>
      <c r="H442" s="3">
        <f>IF(OR(F442="",F442=0),"לא","כן")</f>
      </c>
      <c r="I442" s="3">
        <f>IF(ISNUMBER(SEARCH(",",D442)),"כן","לא")</f>
      </c>
      <c r="J442" s="3">
        <f>IF(OR(ISNUMBER(SEARCH(",",D442)),ISNUMBER(SEARCH("קבוצות",G442))),"כן","לא")</f>
      </c>
    </row>
    <row r="443" spans="2:10" x14ac:dyDescent="0.25">
      <c r="B443" s="11"/>
      <c r="C443" s="11"/>
      <c r="D443" s="11"/>
      <c r="E443" s="11"/>
      <c r="F443" s="11"/>
      <c r="G443" s="11"/>
      <c r="H443" s="3">
        <f>IF(OR(F443="",F443=0),"לא","כן")</f>
      </c>
      <c r="I443" s="3">
        <f>IF(ISNUMBER(SEARCH(",",D443)),"כן","לא")</f>
      </c>
      <c r="J443" s="3">
        <f>IF(OR(ISNUMBER(SEARCH(",",D443)),ISNUMBER(SEARCH("קבוצות",G443))),"כן","לא")</f>
      </c>
    </row>
    <row r="444" spans="2:10" x14ac:dyDescent="0.25">
      <c r="B444" s="11"/>
      <c r="C444" s="11"/>
      <c r="D444" s="11"/>
      <c r="E444" s="11"/>
      <c r="F444" s="11"/>
      <c r="G444" s="11"/>
      <c r="H444" s="3">
        <f>IF(OR(F444="",F444=0),"לא","כן")</f>
      </c>
      <c r="I444" s="3">
        <f>IF(ISNUMBER(SEARCH(",",D444)),"כן","לא")</f>
      </c>
      <c r="J444" s="3">
        <f>IF(OR(ISNUMBER(SEARCH(",",D444)),ISNUMBER(SEARCH("קבוצות",G444))),"כן","לא")</f>
      </c>
    </row>
    <row r="445" spans="2:10" x14ac:dyDescent="0.25">
      <c r="B445" s="11"/>
      <c r="C445" s="11"/>
      <c r="D445" s="11"/>
      <c r="E445" s="11"/>
      <c r="F445" s="11"/>
      <c r="G445" s="11"/>
      <c r="H445" s="3">
        <f>IF(OR(F445="",F445=0),"לא","כן")</f>
      </c>
      <c r="I445" s="3">
        <f>IF(ISNUMBER(SEARCH(",",D445)),"כן","לא")</f>
      </c>
      <c r="J445" s="3">
        <f>IF(OR(ISNUMBER(SEARCH(",",D445)),ISNUMBER(SEARCH("קבוצות",G445))),"כן","לא")</f>
      </c>
    </row>
    <row r="446" spans="2:10" x14ac:dyDescent="0.25">
      <c r="B446" s="11"/>
      <c r="C446" s="11"/>
      <c r="D446" s="11"/>
      <c r="E446" s="11"/>
      <c r="F446" s="11"/>
      <c r="G446" s="11"/>
      <c r="H446" s="3">
        <f>IF(OR(F446="",F446=0),"לא","כן")</f>
      </c>
      <c r="I446" s="3">
        <f>IF(ISNUMBER(SEARCH(",",D446)),"כן","לא")</f>
      </c>
      <c r="J446" s="3">
        <f>IF(OR(ISNUMBER(SEARCH(",",D446)),ISNUMBER(SEARCH("קבוצות",G446))),"כן","לא")</f>
      </c>
    </row>
    <row r="447" spans="2:10" x14ac:dyDescent="0.25">
      <c r="B447" s="11"/>
      <c r="C447" s="11"/>
      <c r="D447" s="11"/>
      <c r="E447" s="11"/>
      <c r="F447" s="11"/>
      <c r="G447" s="11"/>
      <c r="H447" s="3">
        <f>IF(OR(F447="",F447=0),"לא","כן")</f>
      </c>
      <c r="I447" s="3">
        <f>IF(ISNUMBER(SEARCH(",",D447)),"כן","לא")</f>
      </c>
      <c r="J447" s="3">
        <f>IF(OR(ISNUMBER(SEARCH(",",D447)),ISNUMBER(SEARCH("קבוצות",G447))),"כן","לא")</f>
      </c>
    </row>
    <row r="448" spans="2:10" x14ac:dyDescent="0.25">
      <c r="B448" s="11"/>
      <c r="C448" s="11"/>
      <c r="D448" s="11"/>
      <c r="E448" s="11"/>
      <c r="F448" s="11"/>
      <c r="G448" s="11"/>
      <c r="H448" s="3">
        <f>IF(OR(F448="",F448=0),"לא","כן")</f>
      </c>
      <c r="I448" s="3">
        <f>IF(ISNUMBER(SEARCH(",",D448)),"כן","לא")</f>
      </c>
      <c r="J448" s="3">
        <f>IF(OR(ISNUMBER(SEARCH(",",D448)),ISNUMBER(SEARCH("קבוצות",G448))),"כן","לא")</f>
      </c>
    </row>
    <row r="449" spans="2:10" x14ac:dyDescent="0.25">
      <c r="B449" s="11"/>
      <c r="C449" s="11"/>
      <c r="D449" s="11"/>
      <c r="E449" s="11"/>
      <c r="F449" s="11"/>
      <c r="G449" s="11"/>
      <c r="H449" s="3">
        <f>IF(OR(F449="",F449=0),"לא","כן")</f>
      </c>
      <c r="I449" s="3">
        <f>IF(ISNUMBER(SEARCH(",",D449)),"כן","לא")</f>
      </c>
      <c r="J449" s="3">
        <f>IF(OR(ISNUMBER(SEARCH(",",D449)),ISNUMBER(SEARCH("קבוצות",G449))),"כן","לא")</f>
      </c>
    </row>
    <row r="450" spans="2:10" x14ac:dyDescent="0.25">
      <c r="B450" s="11"/>
      <c r="C450" s="11"/>
      <c r="D450" s="11"/>
      <c r="E450" s="11"/>
      <c r="F450" s="11"/>
      <c r="G450" s="11"/>
      <c r="H450" s="3">
        <f>IF(OR(F450="",F450=0),"לא","כן")</f>
      </c>
      <c r="I450" s="3">
        <f>IF(ISNUMBER(SEARCH(",",D450)),"כן","לא")</f>
      </c>
      <c r="J450" s="3">
        <f>IF(OR(ISNUMBER(SEARCH(",",D450)),ISNUMBER(SEARCH("קבוצות",G450))),"כן","לא")</f>
      </c>
    </row>
    <row r="451" spans="2:10" x14ac:dyDescent="0.25">
      <c r="B451" s="11"/>
      <c r="C451" s="11"/>
      <c r="D451" s="11"/>
      <c r="E451" s="11"/>
      <c r="F451" s="11"/>
      <c r="G451" s="11"/>
      <c r="H451" s="3">
        <f>IF(OR(F451="",F451=0),"לא","כן")</f>
      </c>
      <c r="I451" s="3">
        <f>IF(ISNUMBER(SEARCH(",",D451)),"כן","לא")</f>
      </c>
      <c r="J451" s="3">
        <f>IF(OR(ISNUMBER(SEARCH(",",D451)),ISNUMBER(SEARCH("קבוצות",G451))),"כן","לא")</f>
      </c>
    </row>
    <row r="452" spans="2:10" x14ac:dyDescent="0.25">
      <c r="B452" s="11"/>
      <c r="C452" s="11"/>
      <c r="D452" s="11"/>
      <c r="E452" s="11"/>
      <c r="F452" s="11"/>
      <c r="G452" s="11"/>
      <c r="H452" s="3">
        <f>IF(OR(F452="",F452=0),"לא","כן")</f>
      </c>
      <c r="I452" s="3">
        <f>IF(ISNUMBER(SEARCH(",",D452)),"כן","לא")</f>
      </c>
      <c r="J452" s="3">
        <f>IF(OR(ISNUMBER(SEARCH(",",D452)),ISNUMBER(SEARCH("קבוצות",G452))),"כן","לא")</f>
      </c>
    </row>
    <row r="453" spans="2:10" x14ac:dyDescent="0.25">
      <c r="B453" s="11"/>
      <c r="C453" s="11"/>
      <c r="D453" s="11"/>
      <c r="E453" s="11"/>
      <c r="F453" s="11"/>
      <c r="G453" s="11"/>
      <c r="H453" s="3">
        <f>IF(OR(F453="",F453=0),"לא","כן")</f>
      </c>
      <c r="I453" s="3">
        <f>IF(ISNUMBER(SEARCH(",",D453)),"כן","לא")</f>
      </c>
      <c r="J453" s="3">
        <f>IF(OR(ISNUMBER(SEARCH(",",D453)),ISNUMBER(SEARCH("קבוצות",G453))),"כן","לא")</f>
      </c>
    </row>
    <row r="454" spans="2:10" x14ac:dyDescent="0.25">
      <c r="B454" s="11"/>
      <c r="C454" s="11"/>
      <c r="D454" s="11"/>
      <c r="E454" s="11"/>
      <c r="F454" s="11"/>
      <c r="G454" s="11"/>
      <c r="H454" s="3">
        <f>IF(OR(F454="",F454=0),"לא","כן")</f>
      </c>
      <c r="I454" s="3">
        <f>IF(ISNUMBER(SEARCH(",",D454)),"כן","לא")</f>
      </c>
      <c r="J454" s="3">
        <f>IF(OR(ISNUMBER(SEARCH(",",D454)),ISNUMBER(SEARCH("קבוצות",G454))),"כן","לא")</f>
      </c>
    </row>
    <row r="455" spans="2:10" x14ac:dyDescent="0.25">
      <c r="B455" s="11"/>
      <c r="C455" s="11"/>
      <c r="D455" s="11"/>
      <c r="E455" s="11"/>
      <c r="F455" s="11"/>
      <c r="G455" s="11"/>
      <c r="H455" s="3">
        <f>IF(OR(F455="",F455=0),"לא","כן")</f>
      </c>
      <c r="I455" s="3">
        <f>IF(ISNUMBER(SEARCH(",",D455)),"כן","לא")</f>
      </c>
      <c r="J455" s="3">
        <f>IF(OR(ISNUMBER(SEARCH(",",D455)),ISNUMBER(SEARCH("קבוצות",G455))),"כן","לא")</f>
      </c>
    </row>
    <row r="456" spans="2:10" x14ac:dyDescent="0.25">
      <c r="B456" s="11"/>
      <c r="C456" s="11"/>
      <c r="D456" s="11"/>
      <c r="E456" s="11"/>
      <c r="F456" s="11"/>
      <c r="G456" s="11"/>
      <c r="H456" s="3">
        <f>IF(OR(F456="",F456=0),"לא","כן")</f>
      </c>
      <c r="I456" s="3">
        <f>IF(ISNUMBER(SEARCH(",",D456)),"כן","לא")</f>
      </c>
      <c r="J456" s="3">
        <f>IF(OR(ISNUMBER(SEARCH(",",D456)),ISNUMBER(SEARCH("קבוצות",G456))),"כן","לא")</f>
      </c>
    </row>
    <row r="457" spans="2:10" x14ac:dyDescent="0.25">
      <c r="B457" s="11"/>
      <c r="C457" s="11"/>
      <c r="D457" s="11"/>
      <c r="E457" s="11"/>
      <c r="F457" s="11"/>
      <c r="G457" s="11"/>
      <c r="H457" s="3">
        <f>IF(OR(F457="",F457=0),"לא","כן")</f>
      </c>
      <c r="I457" s="3">
        <f>IF(ISNUMBER(SEARCH(",",D457)),"כן","לא")</f>
      </c>
      <c r="J457" s="3">
        <f>IF(OR(ISNUMBER(SEARCH(",",D457)),ISNUMBER(SEARCH("קבוצות",G457))),"כן","לא")</f>
      </c>
    </row>
    <row r="458" spans="2:10" x14ac:dyDescent="0.25">
      <c r="B458" s="11"/>
      <c r="C458" s="11"/>
      <c r="D458" s="11"/>
      <c r="E458" s="11"/>
      <c r="F458" s="11"/>
      <c r="G458" s="11"/>
      <c r="H458" s="3">
        <f>IF(OR(F458="",F458=0),"לא","כן")</f>
      </c>
      <c r="I458" s="3">
        <f>IF(ISNUMBER(SEARCH(",",D458)),"כן","לא")</f>
      </c>
      <c r="J458" s="3">
        <f>IF(OR(ISNUMBER(SEARCH(",",D458)),ISNUMBER(SEARCH("קבוצות",G458))),"כן","לא")</f>
      </c>
    </row>
    <row r="459" spans="2:10" x14ac:dyDescent="0.25">
      <c r="B459" s="11"/>
      <c r="C459" s="11"/>
      <c r="D459" s="11"/>
      <c r="E459" s="11"/>
      <c r="F459" s="11"/>
      <c r="G459" s="11"/>
      <c r="H459" s="3">
        <f>IF(OR(F459="",F459=0),"לא","כן")</f>
      </c>
      <c r="I459" s="3">
        <f>IF(ISNUMBER(SEARCH(",",D459)),"כן","לא")</f>
      </c>
      <c r="J459" s="3">
        <f>IF(OR(ISNUMBER(SEARCH(",",D459)),ISNUMBER(SEARCH("קבוצות",G459))),"כן","לא")</f>
      </c>
    </row>
    <row r="460" spans="2:10" x14ac:dyDescent="0.25">
      <c r="B460" s="11"/>
      <c r="C460" s="11"/>
      <c r="D460" s="11"/>
      <c r="E460" s="11"/>
      <c r="F460" s="11"/>
      <c r="G460" s="11"/>
      <c r="H460" s="3">
        <f>IF(OR(F460="",F460=0),"לא","כן")</f>
      </c>
      <c r="I460" s="3">
        <f>IF(ISNUMBER(SEARCH(",",D460)),"כן","לא")</f>
      </c>
      <c r="J460" s="3">
        <f>IF(OR(ISNUMBER(SEARCH(",",D460)),ISNUMBER(SEARCH("קבוצות",G460))),"כן","לא")</f>
      </c>
    </row>
    <row r="461" spans="2:10" x14ac:dyDescent="0.25">
      <c r="B461" s="11"/>
      <c r="C461" s="11"/>
      <c r="D461" s="11"/>
      <c r="E461" s="11"/>
      <c r="F461" s="11"/>
      <c r="G461" s="11"/>
      <c r="H461" s="3">
        <f>IF(OR(F461="",F461=0),"לא","כן")</f>
      </c>
      <c r="I461" s="3">
        <f>IF(ISNUMBER(SEARCH(",",D461)),"כן","לא")</f>
      </c>
      <c r="J461" s="3">
        <f>IF(OR(ISNUMBER(SEARCH(",",D461)),ISNUMBER(SEARCH("קבוצות",G461))),"כן","לא")</f>
      </c>
    </row>
    <row r="462" spans="2:10" x14ac:dyDescent="0.25">
      <c r="B462" s="11"/>
      <c r="C462" s="11"/>
      <c r="D462" s="11"/>
      <c r="E462" s="11"/>
      <c r="F462" s="11"/>
      <c r="G462" s="11"/>
      <c r="H462" s="3">
        <f>IF(OR(F462="",F462=0),"לא","כן")</f>
      </c>
      <c r="I462" s="3">
        <f>IF(ISNUMBER(SEARCH(",",D462)),"כן","לא")</f>
      </c>
      <c r="J462" s="3">
        <f>IF(OR(ISNUMBER(SEARCH(",",D462)),ISNUMBER(SEARCH("קבוצות",G462))),"כן","לא")</f>
      </c>
    </row>
    <row r="463" spans="2:10" x14ac:dyDescent="0.25">
      <c r="B463" s="11"/>
      <c r="C463" s="11"/>
      <c r="D463" s="11"/>
      <c r="E463" s="11"/>
      <c r="F463" s="11"/>
      <c r="G463" s="11"/>
      <c r="H463" s="3">
        <f>IF(OR(F463="",F463=0),"לא","כן")</f>
      </c>
      <c r="I463" s="3">
        <f>IF(ISNUMBER(SEARCH(",",D463)),"כן","לא")</f>
      </c>
      <c r="J463" s="3">
        <f>IF(OR(ISNUMBER(SEARCH(",",D463)),ISNUMBER(SEARCH("קבוצות",G463))),"כן","לא")</f>
      </c>
    </row>
    <row r="464" spans="2:10" x14ac:dyDescent="0.25">
      <c r="B464" s="11"/>
      <c r="C464" s="11"/>
      <c r="D464" s="11"/>
      <c r="E464" s="11"/>
      <c r="F464" s="11"/>
      <c r="G464" s="11"/>
      <c r="H464" s="3">
        <f>IF(OR(F464="",F464=0),"לא","כן")</f>
      </c>
      <c r="I464" s="3">
        <f>IF(ISNUMBER(SEARCH(",",D464)),"כן","לא")</f>
      </c>
      <c r="J464" s="3">
        <f>IF(OR(ISNUMBER(SEARCH(",",D464)),ISNUMBER(SEARCH("קבוצות",G464))),"כן","לא")</f>
      </c>
    </row>
    <row r="465" spans="2:10" x14ac:dyDescent="0.25">
      <c r="B465" s="11"/>
      <c r="C465" s="11"/>
      <c r="D465" s="11"/>
      <c r="E465" s="11"/>
      <c r="F465" s="11"/>
      <c r="G465" s="11"/>
      <c r="H465" s="3">
        <f>IF(OR(F465="",F465=0),"לא","כן")</f>
      </c>
      <c r="I465" s="3">
        <f>IF(ISNUMBER(SEARCH(",",D465)),"כן","לא")</f>
      </c>
      <c r="J465" s="3">
        <f>IF(OR(ISNUMBER(SEARCH(",",D465)),ISNUMBER(SEARCH("קבוצות",G465))),"כן","לא")</f>
      </c>
    </row>
    <row r="466" spans="2:10" x14ac:dyDescent="0.25">
      <c r="B466" s="11"/>
      <c r="C466" s="11"/>
      <c r="D466" s="11"/>
      <c r="E466" s="11"/>
      <c r="F466" s="11"/>
      <c r="G466" s="11"/>
      <c r="H466" s="3">
        <f>IF(OR(F466="",F466=0),"לא","כן")</f>
      </c>
      <c r="I466" s="3">
        <f>IF(ISNUMBER(SEARCH(",",D466)),"כן","לא")</f>
      </c>
      <c r="J466" s="3">
        <f>IF(OR(ISNUMBER(SEARCH(",",D466)),ISNUMBER(SEARCH("קבוצות",G466))),"כן","לא")</f>
      </c>
    </row>
    <row r="467" spans="2:10" x14ac:dyDescent="0.25">
      <c r="B467" s="11"/>
      <c r="C467" s="11"/>
      <c r="D467" s="11"/>
      <c r="E467" s="11"/>
      <c r="F467" s="11"/>
      <c r="G467" s="11"/>
      <c r="H467" s="3">
        <f>IF(OR(F467="",F467=0),"לא","כן")</f>
      </c>
      <c r="I467" s="3">
        <f>IF(ISNUMBER(SEARCH(",",D467)),"כן","לא")</f>
      </c>
      <c r="J467" s="3">
        <f>IF(OR(ISNUMBER(SEARCH(",",D467)),ISNUMBER(SEARCH("קבוצות",G467))),"כן","לא")</f>
      </c>
    </row>
    <row r="468" spans="2:10" x14ac:dyDescent="0.25">
      <c r="B468" s="11"/>
      <c r="C468" s="11"/>
      <c r="D468" s="11"/>
      <c r="E468" s="11"/>
      <c r="F468" s="11"/>
      <c r="G468" s="11"/>
      <c r="H468" s="3">
        <f>IF(OR(F468="",F468=0),"לא","כן")</f>
      </c>
      <c r="I468" s="3">
        <f>IF(ISNUMBER(SEARCH(",",D468)),"כן","לא")</f>
      </c>
      <c r="J468" s="3">
        <f>IF(OR(ISNUMBER(SEARCH(",",D468)),ISNUMBER(SEARCH("קבוצות",G468))),"כן","לא")</f>
      </c>
    </row>
    <row r="469" spans="2:10" x14ac:dyDescent="0.25">
      <c r="B469" s="11"/>
      <c r="C469" s="11"/>
      <c r="D469" s="11"/>
      <c r="E469" s="11"/>
      <c r="F469" s="11"/>
      <c r="G469" s="11"/>
      <c r="H469" s="3">
        <f>IF(OR(F469="",F469=0),"לא","כן")</f>
      </c>
      <c r="I469" s="3">
        <f>IF(ISNUMBER(SEARCH(",",D469)),"כן","לא")</f>
      </c>
      <c r="J469" s="3">
        <f>IF(OR(ISNUMBER(SEARCH(",",D469)),ISNUMBER(SEARCH("קבוצות",G469))),"כן","לא")</f>
      </c>
    </row>
    <row r="470" spans="2:10" x14ac:dyDescent="0.25">
      <c r="B470" s="11"/>
      <c r="C470" s="11"/>
      <c r="D470" s="11"/>
      <c r="E470" s="11"/>
      <c r="F470" s="11"/>
      <c r="G470" s="11"/>
      <c r="H470" s="3">
        <f>IF(OR(F470="",F470=0),"לא","כן")</f>
      </c>
      <c r="I470" s="3">
        <f>IF(ISNUMBER(SEARCH(",",D470)),"כן","לא")</f>
      </c>
      <c r="J470" s="3">
        <f>IF(OR(ISNUMBER(SEARCH(",",D470)),ISNUMBER(SEARCH("קבוצות",G470))),"כן","לא")</f>
      </c>
    </row>
    <row r="471" spans="2:10" x14ac:dyDescent="0.25">
      <c r="B471" s="11"/>
      <c r="C471" s="11"/>
      <c r="D471" s="11"/>
      <c r="E471" s="11"/>
      <c r="F471" s="11"/>
      <c r="G471" s="11"/>
      <c r="H471" s="3">
        <f>IF(OR(F471="",F471=0),"לא","כן")</f>
      </c>
      <c r="I471" s="3">
        <f>IF(ISNUMBER(SEARCH(",",D471)),"כן","לא")</f>
      </c>
      <c r="J471" s="3">
        <f>IF(OR(ISNUMBER(SEARCH(",",D471)),ISNUMBER(SEARCH("קבוצות",G471))),"כן","לא")</f>
      </c>
    </row>
    <row r="472" spans="2:10" x14ac:dyDescent="0.25">
      <c r="B472" s="11"/>
      <c r="C472" s="11"/>
      <c r="D472" s="11"/>
      <c r="E472" s="11"/>
      <c r="F472" s="11"/>
      <c r="G472" s="11"/>
      <c r="H472" s="3">
        <f>IF(OR(F472="",F472=0),"לא","כן")</f>
      </c>
      <c r="I472" s="3">
        <f>IF(ISNUMBER(SEARCH(",",D472)),"כן","לא")</f>
      </c>
      <c r="J472" s="3">
        <f>IF(OR(ISNUMBER(SEARCH(",",D472)),ISNUMBER(SEARCH("קבוצות",G472))),"כן","לא")</f>
      </c>
    </row>
    <row r="473" spans="2:10" x14ac:dyDescent="0.25">
      <c r="B473" s="11"/>
      <c r="C473" s="11"/>
      <c r="D473" s="11"/>
      <c r="E473" s="11"/>
      <c r="F473" s="11"/>
      <c r="G473" s="11"/>
      <c r="H473" s="3">
        <f>IF(OR(F473="",F473=0),"לא","כן")</f>
      </c>
      <c r="I473" s="3">
        <f>IF(ISNUMBER(SEARCH(",",D473)),"כן","לא")</f>
      </c>
      <c r="J473" s="3">
        <f>IF(OR(ISNUMBER(SEARCH(",",D473)),ISNUMBER(SEARCH("קבוצות",G473))),"כן","לא")</f>
      </c>
    </row>
    <row r="474" spans="2:10" x14ac:dyDescent="0.25">
      <c r="B474" s="11"/>
      <c r="C474" s="11"/>
      <c r="D474" s="11"/>
      <c r="E474" s="11"/>
      <c r="F474" s="11"/>
      <c r="G474" s="11"/>
      <c r="H474" s="3">
        <f>IF(OR(F474="",F474=0),"לא","כן")</f>
      </c>
      <c r="I474" s="3">
        <f>IF(ISNUMBER(SEARCH(",",D474)),"כן","לא")</f>
      </c>
      <c r="J474" s="3">
        <f>IF(OR(ISNUMBER(SEARCH(",",D474)),ISNUMBER(SEARCH("קבוצות",G474))),"כן","לא")</f>
      </c>
    </row>
    <row r="475" spans="2:10" x14ac:dyDescent="0.25">
      <c r="B475" s="11"/>
      <c r="C475" s="11"/>
      <c r="D475" s="11"/>
      <c r="E475" s="11"/>
      <c r="F475" s="11"/>
      <c r="G475" s="11"/>
      <c r="H475" s="3">
        <f>IF(OR(F475="",F475=0),"לא","כן")</f>
      </c>
      <c r="I475" s="3">
        <f>IF(ISNUMBER(SEARCH(",",D475)),"כן","לא")</f>
      </c>
      <c r="J475" s="3">
        <f>IF(OR(ISNUMBER(SEARCH(",",D475)),ISNUMBER(SEARCH("קבוצות",G475))),"כן","לא")</f>
      </c>
    </row>
    <row r="476" spans="2:10" x14ac:dyDescent="0.25">
      <c r="B476" s="11"/>
      <c r="C476" s="11"/>
      <c r="D476" s="11"/>
      <c r="E476" s="11"/>
      <c r="F476" s="11"/>
      <c r="G476" s="11"/>
      <c r="H476" s="3">
        <f>IF(OR(F476="",F476=0),"לא","כן")</f>
      </c>
      <c r="I476" s="3">
        <f>IF(ISNUMBER(SEARCH(",",D476)),"כן","לא")</f>
      </c>
      <c r="J476" s="3">
        <f>IF(OR(ISNUMBER(SEARCH(",",D476)),ISNUMBER(SEARCH("קבוצות",G476))),"כן","לא")</f>
      </c>
    </row>
    <row r="477" spans="2:10" x14ac:dyDescent="0.25">
      <c r="B477" s="11"/>
      <c r="C477" s="11"/>
      <c r="D477" s="11"/>
      <c r="E477" s="11"/>
      <c r="F477" s="11"/>
      <c r="G477" s="11"/>
      <c r="H477" s="3">
        <f>IF(OR(F477="",F477=0),"לא","כן")</f>
      </c>
      <c r="I477" s="3">
        <f>IF(ISNUMBER(SEARCH(",",D477)),"כן","לא")</f>
      </c>
      <c r="J477" s="3">
        <f>IF(OR(ISNUMBER(SEARCH(",",D477)),ISNUMBER(SEARCH("קבוצות",G477))),"כן","לא")</f>
      </c>
    </row>
    <row r="478" spans="2:10" x14ac:dyDescent="0.25">
      <c r="B478" s="11"/>
      <c r="C478" s="11"/>
      <c r="D478" s="11"/>
      <c r="E478" s="11"/>
      <c r="F478" s="11"/>
      <c r="G478" s="11"/>
      <c r="H478" s="3">
        <f>IF(OR(F478="",F478=0),"לא","כן")</f>
      </c>
      <c r="I478" s="3">
        <f>IF(ISNUMBER(SEARCH(",",D478)),"כן","לא")</f>
      </c>
      <c r="J478" s="3">
        <f>IF(OR(ISNUMBER(SEARCH(",",D478)),ISNUMBER(SEARCH("קבוצות",G478))),"כן","לא")</f>
      </c>
    </row>
    <row r="479" spans="2:10" x14ac:dyDescent="0.25">
      <c r="B479" s="11"/>
      <c r="C479" s="11"/>
      <c r="D479" s="11"/>
      <c r="E479" s="11"/>
      <c r="F479" s="11"/>
      <c r="G479" s="11"/>
      <c r="H479" s="3">
        <f>IF(OR(F479="",F479=0),"לא","כן")</f>
      </c>
      <c r="I479" s="3">
        <f>IF(ISNUMBER(SEARCH(",",D479)),"כן","לא")</f>
      </c>
      <c r="J479" s="3">
        <f>IF(OR(ISNUMBER(SEARCH(",",D479)),ISNUMBER(SEARCH("קבוצות",G479))),"כן","לא")</f>
      </c>
    </row>
    <row r="480" spans="2:10" x14ac:dyDescent="0.25">
      <c r="B480" s="11"/>
      <c r="C480" s="11"/>
      <c r="D480" s="11"/>
      <c r="E480" s="11"/>
      <c r="F480" s="11"/>
      <c r="G480" s="11"/>
      <c r="H480" s="3">
        <f>IF(OR(F480="",F480=0),"לא","כן")</f>
      </c>
      <c r="I480" s="3">
        <f>IF(ISNUMBER(SEARCH(",",D480)),"כן","לא")</f>
      </c>
      <c r="J480" s="3">
        <f>IF(OR(ISNUMBER(SEARCH(",",D480)),ISNUMBER(SEARCH("קבוצות",G480))),"כן","לא")</f>
      </c>
    </row>
    <row r="481" spans="2:10" x14ac:dyDescent="0.25">
      <c r="B481" s="11"/>
      <c r="C481" s="11"/>
      <c r="D481" s="11"/>
      <c r="E481" s="11"/>
      <c r="F481" s="11"/>
      <c r="G481" s="11"/>
      <c r="H481" s="3">
        <f>IF(OR(F481="",F481=0),"לא","כן")</f>
      </c>
      <c r="I481" s="3">
        <f>IF(ISNUMBER(SEARCH(",",D481)),"כן","לא")</f>
      </c>
      <c r="J481" s="3">
        <f>IF(OR(ISNUMBER(SEARCH(",",D481)),ISNUMBER(SEARCH("קבוצות",G481))),"כן","לא")</f>
      </c>
    </row>
    <row r="482" spans="2:10" x14ac:dyDescent="0.25">
      <c r="B482" s="11"/>
      <c r="C482" s="11"/>
      <c r="D482" s="11"/>
      <c r="E482" s="11"/>
      <c r="F482" s="11"/>
      <c r="G482" s="11"/>
      <c r="H482" s="3">
        <f>IF(OR(F482="",F482=0),"לא","כן")</f>
      </c>
      <c r="I482" s="3">
        <f>IF(ISNUMBER(SEARCH(",",D482)),"כן","לא")</f>
      </c>
      <c r="J482" s="3">
        <f>IF(OR(ISNUMBER(SEARCH(",",D482)),ISNUMBER(SEARCH("קבוצות",G482))),"כן","לא")</f>
      </c>
    </row>
    <row r="483" spans="2:10" x14ac:dyDescent="0.25">
      <c r="B483" s="11"/>
      <c r="C483" s="11"/>
      <c r="D483" s="11"/>
      <c r="E483" s="11"/>
      <c r="F483" s="11"/>
      <c r="G483" s="11"/>
      <c r="H483" s="3">
        <f>IF(OR(F483="",F483=0),"לא","כן")</f>
      </c>
      <c r="I483" s="3">
        <f>IF(ISNUMBER(SEARCH(",",D483)),"כן","לא")</f>
      </c>
      <c r="J483" s="3">
        <f>IF(OR(ISNUMBER(SEARCH(",",D483)),ISNUMBER(SEARCH("קבוצות",G483))),"כן","לא")</f>
      </c>
    </row>
    <row r="484" spans="2:10" x14ac:dyDescent="0.25">
      <c r="B484" s="11"/>
      <c r="C484" s="11"/>
      <c r="D484" s="11"/>
      <c r="E484" s="11"/>
      <c r="F484" s="11"/>
      <c r="G484" s="11"/>
      <c r="H484" s="3">
        <f>IF(OR(F484="",F484=0),"לא","כן")</f>
      </c>
      <c r="I484" s="3">
        <f>IF(ISNUMBER(SEARCH(",",D484)),"כן","לא")</f>
      </c>
      <c r="J484" s="3">
        <f>IF(OR(ISNUMBER(SEARCH(",",D484)),ISNUMBER(SEARCH("קבוצות",G484))),"כן","לא")</f>
      </c>
    </row>
    <row r="485" spans="2:10" x14ac:dyDescent="0.25">
      <c r="B485" s="11"/>
      <c r="C485" s="11"/>
      <c r="D485" s="11"/>
      <c r="E485" s="11"/>
      <c r="F485" s="11"/>
      <c r="G485" s="11"/>
      <c r="H485" s="3">
        <f>IF(OR(F485="",F485=0),"לא","כן")</f>
      </c>
      <c r="I485" s="3">
        <f>IF(ISNUMBER(SEARCH(",",D485)),"כן","לא")</f>
      </c>
      <c r="J485" s="3">
        <f>IF(OR(ISNUMBER(SEARCH(",",D485)),ISNUMBER(SEARCH("קבוצות",G485))),"כן","לא")</f>
      </c>
    </row>
    <row r="486" spans="2:10" x14ac:dyDescent="0.25">
      <c r="B486" s="11"/>
      <c r="C486" s="11"/>
      <c r="D486" s="11"/>
      <c r="E486" s="11"/>
      <c r="F486" s="11"/>
      <c r="G486" s="11"/>
      <c r="H486" s="3">
        <f>IF(OR(F486="",F486=0),"לא","כן")</f>
      </c>
      <c r="I486" s="3">
        <f>IF(ISNUMBER(SEARCH(",",D486)),"כן","לא")</f>
      </c>
      <c r="J486" s="3">
        <f>IF(OR(ISNUMBER(SEARCH(",",D486)),ISNUMBER(SEARCH("קבוצות",G486))),"כן","לא")</f>
      </c>
    </row>
    <row r="487" spans="2:10" x14ac:dyDescent="0.25">
      <c r="B487" s="11"/>
      <c r="C487" s="11"/>
      <c r="D487" s="11"/>
      <c r="E487" s="11"/>
      <c r="F487" s="11"/>
      <c r="G487" s="11"/>
      <c r="H487" s="3">
        <f>IF(OR(F487="",F487=0),"לא","כן")</f>
      </c>
      <c r="I487" s="3">
        <f>IF(ISNUMBER(SEARCH(",",D487)),"כן","לא")</f>
      </c>
      <c r="J487" s="3">
        <f>IF(OR(ISNUMBER(SEARCH(",",D487)),ISNUMBER(SEARCH("קבוצות",G487))),"כן","לא")</f>
      </c>
    </row>
    <row r="488" spans="2:10" x14ac:dyDescent="0.25">
      <c r="B488" s="11"/>
      <c r="C488" s="11"/>
      <c r="D488" s="11"/>
      <c r="E488" s="11"/>
      <c r="F488" s="11"/>
      <c r="G488" s="11"/>
      <c r="H488" s="3">
        <f>IF(OR(F488="",F488=0),"לא","כן")</f>
      </c>
      <c r="I488" s="3">
        <f>IF(ISNUMBER(SEARCH(",",D488)),"כן","לא")</f>
      </c>
      <c r="J488" s="3">
        <f>IF(OR(ISNUMBER(SEARCH(",",D488)),ISNUMBER(SEARCH("קבוצות",G488))),"כן","לא")</f>
      </c>
    </row>
    <row r="489" spans="2:10" x14ac:dyDescent="0.25">
      <c r="B489" s="11"/>
      <c r="C489" s="11"/>
      <c r="D489" s="11"/>
      <c r="E489" s="11"/>
      <c r="F489" s="11"/>
      <c r="G489" s="11"/>
      <c r="H489" s="3">
        <f>IF(OR(F489="",F489=0),"לא","כן")</f>
      </c>
      <c r="I489" s="3">
        <f>IF(ISNUMBER(SEARCH(",",D489)),"כן","לא")</f>
      </c>
      <c r="J489" s="3">
        <f>IF(OR(ISNUMBER(SEARCH(",",D489)),ISNUMBER(SEARCH("קבוצות",G489))),"כן","לא")</f>
      </c>
    </row>
    <row r="490" spans="2:10" x14ac:dyDescent="0.25">
      <c r="B490" s="11"/>
      <c r="C490" s="11"/>
      <c r="D490" s="11"/>
      <c r="E490" s="11"/>
      <c r="F490" s="11"/>
      <c r="G490" s="11"/>
      <c r="H490" s="3">
        <f>IF(OR(F490="",F490=0),"לא","כן")</f>
      </c>
      <c r="I490" s="3">
        <f>IF(ISNUMBER(SEARCH(",",D490)),"כן","לא")</f>
      </c>
      <c r="J490" s="3">
        <f>IF(OR(ISNUMBER(SEARCH(",",D490)),ISNUMBER(SEARCH("קבוצות",G490))),"כן","לא")</f>
      </c>
    </row>
    <row r="491" spans="2:10" x14ac:dyDescent="0.25">
      <c r="B491" s="11"/>
      <c r="C491" s="11"/>
      <c r="D491" s="11"/>
      <c r="E491" s="11"/>
      <c r="F491" s="11"/>
      <c r="G491" s="11"/>
      <c r="H491" s="3">
        <f>IF(OR(F491="",F491=0),"לא","כן")</f>
      </c>
      <c r="I491" s="3">
        <f>IF(ISNUMBER(SEARCH(",",D491)),"כן","לא")</f>
      </c>
      <c r="J491" s="3">
        <f>IF(OR(ISNUMBER(SEARCH(",",D491)),ISNUMBER(SEARCH("קבוצות",G491))),"כן","לא")</f>
      </c>
    </row>
    <row r="492" spans="2:10" x14ac:dyDescent="0.25">
      <c r="B492" s="11"/>
      <c r="C492" s="11"/>
      <c r="D492" s="11"/>
      <c r="E492" s="11"/>
      <c r="F492" s="11"/>
      <c r="G492" s="11"/>
      <c r="H492" s="3">
        <f>IF(OR(F492="",F492=0),"לא","כן")</f>
      </c>
      <c r="I492" s="3">
        <f>IF(ISNUMBER(SEARCH(",",D492)),"כן","לא")</f>
      </c>
      <c r="J492" s="3">
        <f>IF(OR(ISNUMBER(SEARCH(",",D492)),ISNUMBER(SEARCH("קבוצות",G492))),"כן","לא")</f>
      </c>
    </row>
    <row r="493" spans="2:10" x14ac:dyDescent="0.25">
      <c r="B493" s="11"/>
      <c r="C493" s="11"/>
      <c r="D493" s="11"/>
      <c r="E493" s="11"/>
      <c r="F493" s="11"/>
      <c r="G493" s="11"/>
      <c r="H493" s="3">
        <f>IF(OR(F493="",F493=0),"לא","כן")</f>
      </c>
      <c r="I493" s="3">
        <f>IF(ISNUMBER(SEARCH(",",D493)),"כן","לא")</f>
      </c>
      <c r="J493" s="3">
        <f>IF(OR(ISNUMBER(SEARCH(",",D493)),ISNUMBER(SEARCH("קבוצות",G493))),"כן","לא")</f>
      </c>
    </row>
    <row r="494" spans="2:10" x14ac:dyDescent="0.25">
      <c r="B494" s="11"/>
      <c r="C494" s="11"/>
      <c r="D494" s="11"/>
      <c r="E494" s="11"/>
      <c r="F494" s="11"/>
      <c r="G494" s="11"/>
      <c r="H494" s="3">
        <f>IF(OR(F494="",F494=0),"לא","כן")</f>
      </c>
      <c r="I494" s="3">
        <f>IF(ISNUMBER(SEARCH(",",D494)),"כן","לא")</f>
      </c>
      <c r="J494" s="3">
        <f>IF(OR(ISNUMBER(SEARCH(",",D494)),ISNUMBER(SEARCH("קבוצות",G494))),"כן","לא")</f>
      </c>
    </row>
    <row r="495" spans="2:10" x14ac:dyDescent="0.25">
      <c r="B495" s="11"/>
      <c r="C495" s="11"/>
      <c r="D495" s="11"/>
      <c r="E495" s="11"/>
      <c r="F495" s="11"/>
      <c r="G495" s="11"/>
      <c r="H495" s="3">
        <f>IF(OR(F495="",F495=0),"לא","כן")</f>
      </c>
      <c r="I495" s="3">
        <f>IF(ISNUMBER(SEARCH(",",D495)),"כן","לא")</f>
      </c>
      <c r="J495" s="3">
        <f>IF(OR(ISNUMBER(SEARCH(",",D495)),ISNUMBER(SEARCH("קבוצות",G495))),"כן","לא")</f>
      </c>
    </row>
    <row r="496" spans="2:10" x14ac:dyDescent="0.25">
      <c r="B496" s="11"/>
      <c r="C496" s="11"/>
      <c r="D496" s="11"/>
      <c r="E496" s="11"/>
      <c r="F496" s="11"/>
      <c r="G496" s="11"/>
      <c r="H496" s="3">
        <f>IF(OR(F496="",F496=0),"לא","כן")</f>
      </c>
      <c r="I496" s="3">
        <f>IF(ISNUMBER(SEARCH(",",D496)),"כן","לא")</f>
      </c>
      <c r="J496" s="3">
        <f>IF(OR(ISNUMBER(SEARCH(",",D496)),ISNUMBER(SEARCH("קבוצות",G496))),"כן","לא")</f>
      </c>
    </row>
    <row r="497" spans="2:10" x14ac:dyDescent="0.25">
      <c r="B497" s="11"/>
      <c r="C497" s="11"/>
      <c r="D497" s="11"/>
      <c r="E497" s="11"/>
      <c r="F497" s="11"/>
      <c r="G497" s="11"/>
      <c r="H497" s="3">
        <f>IF(OR(F497="",F497=0),"לא","כן")</f>
      </c>
      <c r="I497" s="3">
        <f>IF(ISNUMBER(SEARCH(",",D497)),"כן","לא")</f>
      </c>
      <c r="J497" s="3">
        <f>IF(OR(ISNUMBER(SEARCH(",",D497)),ISNUMBER(SEARCH("קבוצות",G497))),"כן","לא")</f>
      </c>
    </row>
    <row r="498" spans="2:10" x14ac:dyDescent="0.25">
      <c r="B498" s="11"/>
      <c r="C498" s="11"/>
      <c r="D498" s="11"/>
      <c r="E498" s="11"/>
      <c r="F498" s="11"/>
      <c r="G498" s="11"/>
      <c r="H498" s="3">
        <f>IF(OR(F498="",F498=0),"לא","כן")</f>
      </c>
      <c r="I498" s="3">
        <f>IF(ISNUMBER(SEARCH(",",D498)),"כן","לא")</f>
      </c>
      <c r="J498" s="3">
        <f>IF(OR(ISNUMBER(SEARCH(",",D498)),ISNUMBER(SEARCH("קבוצות",G498))),"כן","לא")</f>
      </c>
    </row>
    <row r="499" spans="2:10" x14ac:dyDescent="0.25">
      <c r="B499" s="11"/>
      <c r="C499" s="11"/>
      <c r="D499" s="11"/>
      <c r="E499" s="11"/>
      <c r="F499" s="11"/>
      <c r="G499" s="11"/>
      <c r="H499" s="3">
        <f>IF(OR(F499="",F499=0),"לא","כן")</f>
      </c>
      <c r="I499" s="3">
        <f>IF(ISNUMBER(SEARCH(",",D499)),"כן","לא")</f>
      </c>
      <c r="J499" s="3">
        <f>IF(OR(ISNUMBER(SEARCH(",",D499)),ISNUMBER(SEARCH("קבוצות",G499))),"כן","לא")</f>
      </c>
    </row>
    <row r="500" spans="2:10" x14ac:dyDescent="0.25">
      <c r="B500" s="11"/>
      <c r="C500" s="11"/>
      <c r="D500" s="11"/>
      <c r="E500" s="11"/>
      <c r="F500" s="11"/>
      <c r="G500" s="11"/>
      <c r="H500" s="3">
        <f>IF(OR(F500="",F500=0),"לא","כן")</f>
      </c>
      <c r="I500" s="3">
        <f>IF(ISNUMBER(SEARCH(",",D500)),"כן","לא")</f>
      </c>
      <c r="J500" s="3">
        <f>IF(OR(ISNUMBER(SEARCH(",",D500)),ISNUMBER(SEARCH("קבוצות",G500))),"כן","לא")</f>
      </c>
    </row>
    <row r="501" spans="2:10" x14ac:dyDescent="0.25">
      <c r="B501" s="11"/>
      <c r="C501" s="11"/>
      <c r="D501" s="11"/>
      <c r="E501" s="11"/>
      <c r="F501" s="11"/>
      <c r="G501" s="11"/>
      <c r="H501" s="3">
        <f>IF(OR(F501="",F501=0),"לא","כן")</f>
      </c>
      <c r="I501" s="3">
        <f>IF(ISNUMBER(SEARCH(",",D501)),"כן","לא")</f>
      </c>
      <c r="J501" s="3">
        <f>IF(OR(ISNUMBER(SEARCH(",",D501)),ISNUMBER(SEARCH("קבוצות",G501))),"כן","לא")</f>
      </c>
    </row>
    <row r="502" spans="2:10" x14ac:dyDescent="0.25">
      <c r="B502" s="11"/>
      <c r="C502" s="11"/>
      <c r="D502" s="11"/>
      <c r="E502" s="11"/>
      <c r="F502" s="11"/>
      <c r="G502" s="11"/>
      <c r="H502" s="3">
        <f>IF(OR(F502="",F502=0),"לא","כן")</f>
      </c>
      <c r="I502" s="3">
        <f>IF(ISNUMBER(SEARCH(",",D502)),"כן","לא")</f>
      </c>
      <c r="J502" s="3">
        <f>IF(OR(ISNUMBER(SEARCH(",",D502)),ISNUMBER(SEARCH("קבוצות",G502))),"כן","לא")</f>
      </c>
    </row>
    <row r="503" spans="2:10" x14ac:dyDescent="0.25">
      <c r="B503" s="11"/>
      <c r="C503" s="11"/>
      <c r="D503" s="11"/>
      <c r="E503" s="11"/>
      <c r="F503" s="11"/>
      <c r="G503" s="11"/>
      <c r="H503" s="3">
        <f>IF(OR(F503="",F503=0),"לא","כן")</f>
      </c>
      <c r="I503" s="3">
        <f>IF(ISNUMBER(SEARCH(",",D503)),"כן","לא")</f>
      </c>
      <c r="J503" s="3">
        <f>IF(OR(ISNUMBER(SEARCH(",",D503)),ISNUMBER(SEARCH("קבוצות",G503))),"כן","לא")</f>
      </c>
    </row>
    <row r="504" spans="2:10" x14ac:dyDescent="0.25">
      <c r="B504" s="11"/>
      <c r="C504" s="11"/>
      <c r="D504" s="11"/>
      <c r="E504" s="11"/>
      <c r="F504" s="11"/>
      <c r="G504" s="11"/>
      <c r="H504" s="3">
        <f>IF(OR(F504="",F504=0),"לא","כן")</f>
      </c>
      <c r="I504" s="3">
        <f>IF(ISNUMBER(SEARCH(",",D504)),"כן","לא")</f>
      </c>
      <c r="J504" s="3">
        <f>IF(OR(ISNUMBER(SEARCH(",",D504)),ISNUMBER(SEARCH("קבוצות",G504))),"כן","לא")</f>
      </c>
    </row>
    <row r="505" spans="2:10" x14ac:dyDescent="0.25">
      <c r="B505" s="11"/>
      <c r="C505" s="11"/>
      <c r="D505" s="11"/>
      <c r="E505" s="11"/>
      <c r="F505" s="11"/>
      <c r="G505" s="11"/>
      <c r="H505" s="3">
        <f>IF(OR(F505="",F505=0),"לא","כן")</f>
      </c>
      <c r="I505" s="3">
        <f>IF(ISNUMBER(SEARCH(",",D505)),"כן","לא")</f>
      </c>
      <c r="J505" s="3">
        <f>IF(OR(ISNUMBER(SEARCH(",",D505)),ISNUMBER(SEARCH("קבוצות",G505))),"כן","לא")</f>
      </c>
    </row>
    <row r="506" spans="2:10" x14ac:dyDescent="0.25">
      <c r="B506" s="11"/>
      <c r="C506" s="11"/>
      <c r="D506" s="11"/>
      <c r="E506" s="11"/>
      <c r="F506" s="11"/>
      <c r="G506" s="11"/>
      <c r="H506" s="3">
        <f>IF(OR(F506="",F506=0),"לא","כן")</f>
      </c>
      <c r="I506" s="3">
        <f>IF(ISNUMBER(SEARCH(",",D506)),"כן","לא")</f>
      </c>
      <c r="J506" s="3">
        <f>IF(OR(ISNUMBER(SEARCH(",",D506)),ISNUMBER(SEARCH("קבוצות",G506))),"כן","לא")</f>
      </c>
    </row>
    <row r="507" spans="2:10" x14ac:dyDescent="0.25">
      <c r="B507" s="11"/>
      <c r="C507" s="11"/>
      <c r="D507" s="11"/>
      <c r="E507" s="11"/>
      <c r="F507" s="11"/>
      <c r="G507" s="11"/>
      <c r="H507" s="3">
        <f>IF(OR(F507="",F507=0),"לא","כן")</f>
      </c>
      <c r="I507" s="3">
        <f>IF(ISNUMBER(SEARCH(",",D507)),"כן","לא")</f>
      </c>
      <c r="J507" s="3">
        <f>IF(OR(ISNUMBER(SEARCH(",",D507)),ISNUMBER(SEARCH("קבוצות",G507))),"כן","לא")</f>
      </c>
    </row>
    <row r="508" spans="2:10" x14ac:dyDescent="0.25">
      <c r="B508" s="11"/>
      <c r="C508" s="11"/>
      <c r="D508" s="11"/>
      <c r="E508" s="11"/>
      <c r="F508" s="11"/>
      <c r="G508" s="11"/>
      <c r="H508" s="3">
        <f>IF(OR(F508="",F508=0),"לא","כן")</f>
      </c>
      <c r="I508" s="3">
        <f>IF(ISNUMBER(SEARCH(",",D508)),"כן","לא")</f>
      </c>
      <c r="J508" s="3">
        <f>IF(OR(ISNUMBER(SEARCH(",",D508)),ISNUMBER(SEARCH("קבוצות",G508))),"כן","לא")</f>
      </c>
    </row>
    <row r="509" spans="2:10" x14ac:dyDescent="0.25">
      <c r="B509" s="11"/>
      <c r="C509" s="11"/>
      <c r="D509" s="11"/>
      <c r="E509" s="11"/>
      <c r="F509" s="11"/>
      <c r="G509" s="11"/>
      <c r="H509" s="3">
        <f>IF(OR(F509="",F509=0),"לא","כן")</f>
      </c>
      <c r="I509" s="3">
        <f>IF(ISNUMBER(SEARCH(",",D509)),"כן","לא")</f>
      </c>
      <c r="J509" s="3">
        <f>IF(OR(ISNUMBER(SEARCH(",",D509)),ISNUMBER(SEARCH("קבוצות",G509))),"כן","לא")</f>
      </c>
    </row>
    <row r="510" spans="2:10" x14ac:dyDescent="0.25">
      <c r="B510" s="11"/>
      <c r="C510" s="11"/>
      <c r="D510" s="11"/>
      <c r="E510" s="11"/>
      <c r="F510" s="11"/>
      <c r="G510" s="11"/>
      <c r="H510" s="3">
        <f>IF(OR(F510="",F510=0),"לא","כן")</f>
      </c>
      <c r="I510" s="3">
        <f>IF(ISNUMBER(SEARCH(",",D510)),"כן","לא")</f>
      </c>
      <c r="J510" s="3">
        <f>IF(OR(ISNUMBER(SEARCH(",",D510)),ISNUMBER(SEARCH("קבוצות",G510))),"כן","לא")</f>
      </c>
    </row>
    <row r="511" spans="2:10" x14ac:dyDescent="0.25">
      <c r="B511" s="11"/>
      <c r="C511" s="11"/>
      <c r="D511" s="11"/>
      <c r="E511" s="11"/>
      <c r="F511" s="11"/>
      <c r="G511" s="11"/>
      <c r="H511" s="3">
        <f>IF(OR(F511="",F511=0),"לא","כן")</f>
      </c>
      <c r="I511" s="3">
        <f>IF(ISNUMBER(SEARCH(",",D511)),"כן","לא")</f>
      </c>
      <c r="J511" s="3">
        <f>IF(OR(ISNUMBER(SEARCH(",",D511)),ISNUMBER(SEARCH("קבוצות",G511))),"כן","לא")</f>
      </c>
    </row>
    <row r="512" spans="2:10" x14ac:dyDescent="0.25">
      <c r="B512" s="11"/>
      <c r="C512" s="11"/>
      <c r="D512" s="11"/>
      <c r="E512" s="11"/>
      <c r="F512" s="11"/>
      <c r="G512" s="11"/>
      <c r="H512" s="3">
        <f>IF(OR(F512="",F512=0),"לא","כן")</f>
      </c>
      <c r="I512" s="3">
        <f>IF(ISNUMBER(SEARCH(",",D512)),"כן","לא")</f>
      </c>
      <c r="J512" s="3">
        <f>IF(OR(ISNUMBER(SEARCH(",",D512)),ISNUMBER(SEARCH("קבוצות",G512))),"כן","לא")</f>
      </c>
    </row>
    <row r="513" spans="2:10" x14ac:dyDescent="0.25">
      <c r="B513" s="11"/>
      <c r="C513" s="11"/>
      <c r="D513" s="11"/>
      <c r="E513" s="11"/>
      <c r="F513" s="11"/>
      <c r="G513" s="11"/>
      <c r="H513" s="3">
        <f>IF(OR(F513="",F513=0),"לא","כן")</f>
      </c>
      <c r="I513" s="3">
        <f>IF(ISNUMBER(SEARCH(",",D513)),"כן","לא")</f>
      </c>
      <c r="J513" s="3">
        <f>IF(OR(ISNUMBER(SEARCH(",",D513)),ISNUMBER(SEARCH("קבוצות",G513))),"כן","לא")</f>
      </c>
    </row>
    <row r="514" spans="2:10" x14ac:dyDescent="0.25">
      <c r="B514" s="11"/>
      <c r="C514" s="11"/>
      <c r="D514" s="11"/>
      <c r="E514" s="11"/>
      <c r="F514" s="11"/>
      <c r="G514" s="11"/>
      <c r="H514" s="3">
        <f>IF(OR(F514="",F514=0),"לא","כן")</f>
      </c>
      <c r="I514" s="3">
        <f>IF(ISNUMBER(SEARCH(",",D514)),"כן","לא")</f>
      </c>
      <c r="J514" s="3">
        <f>IF(OR(ISNUMBER(SEARCH(",",D514)),ISNUMBER(SEARCH("קבוצות",G514))),"כן","לא")</f>
      </c>
    </row>
    <row r="515" spans="2:10" x14ac:dyDescent="0.25">
      <c r="B515" s="11"/>
      <c r="C515" s="11"/>
      <c r="D515" s="11"/>
      <c r="E515" s="11"/>
      <c r="F515" s="11"/>
      <c r="G515" s="11"/>
      <c r="H515" s="3">
        <f>IF(OR(F515="",F515=0),"לא","כן")</f>
      </c>
      <c r="I515" s="3">
        <f>IF(ISNUMBER(SEARCH(",",D515)),"כן","לא")</f>
      </c>
      <c r="J515" s="3">
        <f>IF(OR(ISNUMBER(SEARCH(",",D515)),ISNUMBER(SEARCH("קבוצות",G515))),"כן","לא")</f>
      </c>
    </row>
    <row r="516" spans="2:10" x14ac:dyDescent="0.25">
      <c r="B516" s="11"/>
      <c r="C516" s="11"/>
      <c r="D516" s="11"/>
      <c r="E516" s="11"/>
      <c r="F516" s="11"/>
      <c r="G516" s="11"/>
      <c r="H516" s="3">
        <f>IF(OR(F516="",F516=0),"לא","כן")</f>
      </c>
      <c r="I516" s="3">
        <f>IF(ISNUMBER(SEARCH(",",D516)),"כן","לא")</f>
      </c>
      <c r="J516" s="3">
        <f>IF(OR(ISNUMBER(SEARCH(",",D516)),ISNUMBER(SEARCH("קבוצות",G516))),"כן","לא")</f>
      </c>
    </row>
    <row r="517" spans="2:10" x14ac:dyDescent="0.25">
      <c r="B517" s="11"/>
      <c r="C517" s="11"/>
      <c r="D517" s="11"/>
      <c r="E517" s="11"/>
      <c r="F517" s="11"/>
      <c r="G517" s="11"/>
      <c r="H517" s="3">
        <f>IF(OR(F517="",F517=0),"לא","כן")</f>
      </c>
      <c r="I517" s="3">
        <f>IF(ISNUMBER(SEARCH(",",D517)),"כן","לא")</f>
      </c>
      <c r="J517" s="3">
        <f>IF(OR(ISNUMBER(SEARCH(",",D517)),ISNUMBER(SEARCH("קבוצות",G517))),"כן","לא")</f>
      </c>
    </row>
    <row r="518" spans="2:10" x14ac:dyDescent="0.25">
      <c r="B518" s="11"/>
      <c r="C518" s="11"/>
      <c r="D518" s="11"/>
      <c r="E518" s="11"/>
      <c r="F518" s="11"/>
      <c r="G518" s="11"/>
      <c r="H518" s="3">
        <f>IF(OR(F518="",F518=0),"לא","כן")</f>
      </c>
      <c r="I518" s="3">
        <f>IF(ISNUMBER(SEARCH(",",D518)),"כן","לא")</f>
      </c>
      <c r="J518" s="3">
        <f>IF(OR(ISNUMBER(SEARCH(",",D518)),ISNUMBER(SEARCH("קבוצות",G518))),"כן","לא")</f>
      </c>
    </row>
    <row r="519" spans="2:10" x14ac:dyDescent="0.25">
      <c r="B519" s="11"/>
      <c r="C519" s="11"/>
      <c r="D519" s="11"/>
      <c r="E519" s="11"/>
      <c r="F519" s="11"/>
      <c r="G519" s="11"/>
      <c r="H519" s="3">
        <f>IF(OR(F519="",F519=0),"לא","כן")</f>
      </c>
      <c r="I519" s="3">
        <f>IF(ISNUMBER(SEARCH(",",D519)),"כן","לא")</f>
      </c>
      <c r="J519" s="3">
        <f>IF(OR(ISNUMBER(SEARCH(",",D519)),ISNUMBER(SEARCH("קבוצות",G519))),"כן","לא")</f>
      </c>
    </row>
    <row r="520" spans="2:10" x14ac:dyDescent="0.25">
      <c r="B520" s="11"/>
      <c r="C520" s="11"/>
      <c r="D520" s="11"/>
      <c r="E520" s="11"/>
      <c r="F520" s="11"/>
      <c r="G520" s="11"/>
      <c r="H520" s="3">
        <f>IF(OR(F520="",F520=0),"לא","כן")</f>
      </c>
      <c r="I520" s="3">
        <f>IF(ISNUMBER(SEARCH(",",D520)),"כן","לא")</f>
      </c>
      <c r="J520" s="3">
        <f>IF(OR(ISNUMBER(SEARCH(",",D520)),ISNUMBER(SEARCH("קבוצות",G520))),"כן","לא")</f>
      </c>
    </row>
    <row r="521" spans="2:10" x14ac:dyDescent="0.25">
      <c r="B521" s="11"/>
      <c r="C521" s="11"/>
      <c r="D521" s="11"/>
      <c r="E521" s="11"/>
      <c r="F521" s="11"/>
      <c r="G521" s="11"/>
      <c r="H521" s="3">
        <f>IF(OR(F521="",F521=0),"לא","כן")</f>
      </c>
      <c r="I521" s="3">
        <f>IF(ISNUMBER(SEARCH(",",D521)),"כן","לא")</f>
      </c>
      <c r="J521" s="3">
        <f>IF(OR(ISNUMBER(SEARCH(",",D521)),ISNUMBER(SEARCH("קבוצות",G521))),"כן","לא")</f>
      </c>
    </row>
    <row r="522" spans="2:10" x14ac:dyDescent="0.25">
      <c r="B522" s="11"/>
      <c r="C522" s="11"/>
      <c r="D522" s="11"/>
      <c r="E522" s="11"/>
      <c r="F522" s="11"/>
      <c r="G522" s="11"/>
      <c r="H522" s="3">
        <f>IF(OR(F522="",F522=0),"לא","כן")</f>
      </c>
      <c r="I522" s="3">
        <f>IF(ISNUMBER(SEARCH(",",D522)),"כן","לא")</f>
      </c>
      <c r="J522" s="3">
        <f>IF(OR(ISNUMBER(SEARCH(",",D522)),ISNUMBER(SEARCH("קבוצות",G522))),"כן","לא")</f>
      </c>
    </row>
    <row r="523" spans="2:10" x14ac:dyDescent="0.25">
      <c r="B523" s="11"/>
      <c r="C523" s="11"/>
      <c r="D523" s="11"/>
      <c r="E523" s="11"/>
      <c r="F523" s="11"/>
      <c r="G523" s="11"/>
      <c r="H523" s="3">
        <f>IF(OR(F523="",F523=0),"לא","כן")</f>
      </c>
      <c r="I523" s="3">
        <f>IF(ISNUMBER(SEARCH(",",D523)),"כן","לא")</f>
      </c>
      <c r="J523" s="3">
        <f>IF(OR(ISNUMBER(SEARCH(",",D523)),ISNUMBER(SEARCH("קבוצות",G523))),"כן","לא")</f>
      </c>
    </row>
    <row r="524" spans="2:10" x14ac:dyDescent="0.25">
      <c r="B524" s="11"/>
      <c r="C524" s="11"/>
      <c r="D524" s="11"/>
      <c r="E524" s="11"/>
      <c r="F524" s="11"/>
      <c r="G524" s="11"/>
      <c r="H524" s="3">
        <f>IF(OR(F524="",F524=0),"לא","כן")</f>
      </c>
      <c r="I524" s="3">
        <f>IF(ISNUMBER(SEARCH(",",D524)),"כן","לא")</f>
      </c>
      <c r="J524" s="3">
        <f>IF(OR(ISNUMBER(SEARCH(",",D524)),ISNUMBER(SEARCH("קבוצות",G524))),"כן","לא")</f>
      </c>
    </row>
    <row r="525" spans="2:10" x14ac:dyDescent="0.25">
      <c r="B525" s="11"/>
      <c r="C525" s="11"/>
      <c r="D525" s="11"/>
      <c r="E525" s="11"/>
      <c r="F525" s="11"/>
      <c r="G525" s="11"/>
      <c r="H525" s="3">
        <f>IF(OR(F525="",F525=0),"לא","כן")</f>
      </c>
      <c r="I525" s="3">
        <f>IF(ISNUMBER(SEARCH(",",D525)),"כן","לא")</f>
      </c>
      <c r="J525" s="3">
        <f>IF(OR(ISNUMBER(SEARCH(",",D525)),ISNUMBER(SEARCH("קבוצות",G525))),"כן","לא")</f>
      </c>
    </row>
    <row r="526" spans="2:10" x14ac:dyDescent="0.25">
      <c r="B526" s="11"/>
      <c r="C526" s="11"/>
      <c r="D526" s="11"/>
      <c r="E526" s="11"/>
      <c r="F526" s="11"/>
      <c r="G526" s="11"/>
      <c r="H526" s="3">
        <f>IF(OR(F526="",F526=0),"לא","כן")</f>
      </c>
      <c r="I526" s="3">
        <f>IF(ISNUMBER(SEARCH(",",D526)),"כן","לא")</f>
      </c>
      <c r="J526" s="3">
        <f>IF(OR(ISNUMBER(SEARCH(",",D526)),ISNUMBER(SEARCH("קבוצות",G526))),"כן","לא")</f>
      </c>
    </row>
    <row r="527" spans="2:10" x14ac:dyDescent="0.25">
      <c r="B527" s="11"/>
      <c r="C527" s="11"/>
      <c r="D527" s="11"/>
      <c r="E527" s="11"/>
      <c r="F527" s="11"/>
      <c r="G527" s="11"/>
      <c r="H527" s="3">
        <f>IF(OR(F527="",F527=0),"לא","כן")</f>
      </c>
      <c r="I527" s="3">
        <f>IF(ISNUMBER(SEARCH(",",D527)),"כן","לא")</f>
      </c>
      <c r="J527" s="3">
        <f>IF(OR(ISNUMBER(SEARCH(",",D527)),ISNUMBER(SEARCH("קבוצות",G527))),"כן","לא")</f>
      </c>
    </row>
    <row r="528" spans="2:10" x14ac:dyDescent="0.25">
      <c r="B528" s="11"/>
      <c r="C528" s="11"/>
      <c r="D528" s="11"/>
      <c r="E528" s="11"/>
      <c r="F528" s="11"/>
      <c r="G528" s="11"/>
      <c r="H528" s="3">
        <f>IF(OR(F528="",F528=0),"לא","כן")</f>
      </c>
      <c r="I528" s="3">
        <f>IF(ISNUMBER(SEARCH(",",D528)),"כן","לא")</f>
      </c>
      <c r="J528" s="3">
        <f>IF(OR(ISNUMBER(SEARCH(",",D528)),ISNUMBER(SEARCH("קבוצות",G528))),"כן","לא")</f>
      </c>
    </row>
    <row r="529" spans="2:10" x14ac:dyDescent="0.25">
      <c r="B529" s="11"/>
      <c r="C529" s="11"/>
      <c r="D529" s="11"/>
      <c r="E529" s="11"/>
      <c r="F529" s="11"/>
      <c r="G529" s="11"/>
      <c r="H529" s="3">
        <f>IF(OR(F529="",F529=0),"לא","כן")</f>
      </c>
      <c r="I529" s="3">
        <f>IF(ISNUMBER(SEARCH(",",D529)),"כן","לא")</f>
      </c>
      <c r="J529" s="3">
        <f>IF(OR(ISNUMBER(SEARCH(",",D529)),ISNUMBER(SEARCH("קבוצות",G529))),"כן","לא")</f>
      </c>
    </row>
    <row r="530" spans="2:10" x14ac:dyDescent="0.25">
      <c r="B530" s="11"/>
      <c r="C530" s="11"/>
      <c r="D530" s="11"/>
      <c r="E530" s="11"/>
      <c r="F530" s="11"/>
      <c r="G530" s="11"/>
      <c r="H530" s="3">
        <f>IF(OR(F530="",F530=0),"לא","כן")</f>
      </c>
      <c r="I530" s="3">
        <f>IF(ISNUMBER(SEARCH(",",D530)),"כן","לא")</f>
      </c>
      <c r="J530" s="3">
        <f>IF(OR(ISNUMBER(SEARCH(",",D530)),ISNUMBER(SEARCH("קבוצות",G530))),"כן","לא")</f>
      </c>
    </row>
    <row r="531" spans="2:10" x14ac:dyDescent="0.25">
      <c r="B531" s="11"/>
      <c r="C531" s="11"/>
      <c r="D531" s="11"/>
      <c r="E531" s="11"/>
      <c r="F531" s="11"/>
      <c r="G531" s="11"/>
      <c r="H531" s="3">
        <f>IF(OR(F531="",F531=0),"לא","כן")</f>
      </c>
      <c r="I531" s="3">
        <f>IF(ISNUMBER(SEARCH(",",D531)),"כן","לא")</f>
      </c>
      <c r="J531" s="3">
        <f>IF(OR(ISNUMBER(SEARCH(",",D531)),ISNUMBER(SEARCH("קבוצות",G531))),"כן","לא")</f>
      </c>
    </row>
    <row r="532" spans="2:10" x14ac:dyDescent="0.25">
      <c r="B532" s="11"/>
      <c r="C532" s="11"/>
      <c r="D532" s="11"/>
      <c r="E532" s="11"/>
      <c r="F532" s="11"/>
      <c r="G532" s="11"/>
      <c r="H532" s="3">
        <f>IF(OR(F532="",F532=0),"לא","כן")</f>
      </c>
      <c r="I532" s="3">
        <f>IF(ISNUMBER(SEARCH(",",D532)),"כן","לא")</f>
      </c>
      <c r="J532" s="3">
        <f>IF(OR(ISNUMBER(SEARCH(",",D532)),ISNUMBER(SEARCH("קבוצות",G532))),"כן","לא")</f>
      </c>
    </row>
    <row r="533" spans="2:10" x14ac:dyDescent="0.25">
      <c r="B533" s="11"/>
      <c r="C533" s="11"/>
      <c r="D533" s="11"/>
      <c r="E533" s="11"/>
      <c r="F533" s="11"/>
      <c r="G533" s="11"/>
      <c r="H533" s="3">
        <f>IF(OR(F533="",F533=0),"לא","כן")</f>
      </c>
      <c r="I533" s="3">
        <f>IF(ISNUMBER(SEARCH(",",D533)),"כן","לא")</f>
      </c>
      <c r="J533" s="3">
        <f>IF(OR(ISNUMBER(SEARCH(",",D533)),ISNUMBER(SEARCH("קבוצות",G533))),"כן","לא")</f>
      </c>
    </row>
    <row r="534" spans="2:10" x14ac:dyDescent="0.25">
      <c r="B534" s="11"/>
      <c r="C534" s="11"/>
      <c r="D534" s="11"/>
      <c r="E534" s="11"/>
      <c r="F534" s="11"/>
      <c r="G534" s="11"/>
      <c r="H534" s="3">
        <f>IF(OR(F534="",F534=0),"לא","כן")</f>
      </c>
      <c r="I534" s="3">
        <f>IF(ISNUMBER(SEARCH(",",D534)),"כן","לא")</f>
      </c>
      <c r="J534" s="3">
        <f>IF(OR(ISNUMBER(SEARCH(",",D534)),ISNUMBER(SEARCH("קבוצות",G534))),"כן","לא")</f>
      </c>
    </row>
    <row r="535" spans="2:10" x14ac:dyDescent="0.25">
      <c r="B535" s="11"/>
      <c r="C535" s="11"/>
      <c r="D535" s="11"/>
      <c r="E535" s="11"/>
      <c r="F535" s="11"/>
      <c r="G535" s="11"/>
      <c r="H535" s="3">
        <f>IF(OR(F535="",F535=0),"לא","כן")</f>
      </c>
      <c r="I535" s="3">
        <f>IF(ISNUMBER(SEARCH(",",D535)),"כן","לא")</f>
      </c>
      <c r="J535" s="3">
        <f>IF(OR(ISNUMBER(SEARCH(",",D535)),ISNUMBER(SEARCH("קבוצות",G535))),"כן","לא")</f>
      </c>
    </row>
    <row r="536" spans="2:10" x14ac:dyDescent="0.25">
      <c r="B536" s="11"/>
      <c r="C536" s="11"/>
      <c r="D536" s="11"/>
      <c r="E536" s="11"/>
      <c r="F536" s="11"/>
      <c r="G536" s="11"/>
      <c r="H536" s="3">
        <f>IF(OR(F536="",F536=0),"לא","כן")</f>
      </c>
      <c r="I536" s="3">
        <f>IF(ISNUMBER(SEARCH(",",D536)),"כן","לא")</f>
      </c>
      <c r="J536" s="3">
        <f>IF(OR(ISNUMBER(SEARCH(",",D536)),ISNUMBER(SEARCH("קבוצות",G536))),"כן","לא")</f>
      </c>
    </row>
    <row r="537" spans="2:10" x14ac:dyDescent="0.25">
      <c r="B537" s="11"/>
      <c r="C537" s="11"/>
      <c r="D537" s="11"/>
      <c r="E537" s="11"/>
      <c r="F537" s="11"/>
      <c r="G537" s="11"/>
      <c r="H537" s="3">
        <f>IF(OR(F537="",F537=0),"לא","כן")</f>
      </c>
      <c r="I537" s="3">
        <f>IF(ISNUMBER(SEARCH(",",D537)),"כן","לא")</f>
      </c>
      <c r="J537" s="3">
        <f>IF(OR(ISNUMBER(SEARCH(",",D537)),ISNUMBER(SEARCH("קבוצות",G537))),"כן","לא")</f>
      </c>
    </row>
    <row r="538" spans="2:10" x14ac:dyDescent="0.25">
      <c r="B538" s="11"/>
      <c r="C538" s="11"/>
      <c r="D538" s="11"/>
      <c r="E538" s="11"/>
      <c r="F538" s="11"/>
      <c r="G538" s="11"/>
      <c r="H538" s="3">
        <f>IF(OR(F538="",F538=0),"לא","כן")</f>
      </c>
      <c r="I538" s="3">
        <f>IF(ISNUMBER(SEARCH(",",D538)),"כן","לא")</f>
      </c>
      <c r="J538" s="3">
        <f>IF(OR(ISNUMBER(SEARCH(",",D538)),ISNUMBER(SEARCH("קבוצות",G538))),"כן","לא")</f>
      </c>
    </row>
    <row r="539" spans="2:10" x14ac:dyDescent="0.25">
      <c r="B539" s="11"/>
      <c r="C539" s="11"/>
      <c r="D539" s="11"/>
      <c r="E539" s="11"/>
      <c r="F539" s="11"/>
      <c r="G539" s="11"/>
      <c r="H539" s="3">
        <f>IF(OR(F539="",F539=0),"לא","כן")</f>
      </c>
      <c r="I539" s="3">
        <f>IF(ISNUMBER(SEARCH(",",D539)),"כן","לא")</f>
      </c>
      <c r="J539" s="3">
        <f>IF(OR(ISNUMBER(SEARCH(",",D539)),ISNUMBER(SEARCH("קבוצות",G539))),"כן","לא")</f>
      </c>
    </row>
    <row r="540" spans="2:10" x14ac:dyDescent="0.25">
      <c r="B540" s="11"/>
      <c r="C540" s="11"/>
      <c r="D540" s="11"/>
      <c r="E540" s="11"/>
      <c r="F540" s="11"/>
      <c r="G540" s="11"/>
      <c r="H540" s="3">
        <f>IF(OR(F540="",F540=0),"לא","כן")</f>
      </c>
      <c r="I540" s="3">
        <f>IF(ISNUMBER(SEARCH(",",D540)),"כן","לא")</f>
      </c>
      <c r="J540" s="3">
        <f>IF(OR(ISNUMBER(SEARCH(",",D540)),ISNUMBER(SEARCH("קבוצות",G540))),"כן","לא")</f>
      </c>
    </row>
    <row r="541" spans="2:10" x14ac:dyDescent="0.25">
      <c r="B541" s="11"/>
      <c r="C541" s="11"/>
      <c r="D541" s="11"/>
      <c r="E541" s="11"/>
      <c r="F541" s="11"/>
      <c r="G541" s="11"/>
      <c r="H541" s="3">
        <f>IF(OR(F541="",F541=0),"לא","כן")</f>
      </c>
      <c r="I541" s="3">
        <f>IF(ISNUMBER(SEARCH(",",D541)),"כן","לא")</f>
      </c>
      <c r="J541" s="3">
        <f>IF(OR(ISNUMBER(SEARCH(",",D541)),ISNUMBER(SEARCH("קבוצות",G541))),"כן","לא")</f>
      </c>
    </row>
    <row r="542" spans="2:10" x14ac:dyDescent="0.25">
      <c r="B542" s="11"/>
      <c r="C542" s="11"/>
      <c r="D542" s="11"/>
      <c r="E542" s="11"/>
      <c r="F542" s="11"/>
      <c r="G542" s="11"/>
      <c r="H542" s="3">
        <f>IF(OR(F542="",F542=0),"לא","כן")</f>
      </c>
      <c r="I542" s="3">
        <f>IF(ISNUMBER(SEARCH(",",D542)),"כן","לא")</f>
      </c>
      <c r="J542" s="3">
        <f>IF(OR(ISNUMBER(SEARCH(",",D542)),ISNUMBER(SEARCH("קבוצות",G542))),"כן","לא")</f>
      </c>
    </row>
    <row r="543" spans="2:10" x14ac:dyDescent="0.25">
      <c r="B543" s="11"/>
      <c r="C543" s="11"/>
      <c r="D543" s="11"/>
      <c r="E543" s="11"/>
      <c r="F543" s="11"/>
      <c r="G543" s="11"/>
      <c r="H543" s="3">
        <f>IF(OR(F543="",F543=0),"לא","כן")</f>
      </c>
      <c r="I543" s="3">
        <f>IF(ISNUMBER(SEARCH(",",D543)),"כן","לא")</f>
      </c>
      <c r="J543" s="3">
        <f>IF(OR(ISNUMBER(SEARCH(",",D543)),ISNUMBER(SEARCH("קבוצות",G543))),"כן","לא")</f>
      </c>
    </row>
    <row r="544" spans="2:10" x14ac:dyDescent="0.25">
      <c r="B544" s="11"/>
      <c r="C544" s="11"/>
      <c r="D544" s="11"/>
      <c r="E544" s="11"/>
      <c r="F544" s="11"/>
      <c r="G544" s="11"/>
      <c r="H544" s="3">
        <f>IF(OR(F544="",F544=0),"לא","כן")</f>
      </c>
      <c r="I544" s="3">
        <f>IF(ISNUMBER(SEARCH(",",D544)),"כן","לא")</f>
      </c>
      <c r="J544" s="3">
        <f>IF(OR(ISNUMBER(SEARCH(",",D544)),ISNUMBER(SEARCH("קבוצות",G544))),"כן","לא")</f>
      </c>
    </row>
    <row r="545" spans="2:10" x14ac:dyDescent="0.25">
      <c r="B545" s="11"/>
      <c r="C545" s="11"/>
      <c r="D545" s="11"/>
      <c r="E545" s="11"/>
      <c r="F545" s="11"/>
      <c r="G545" s="11"/>
      <c r="H545" s="3">
        <f>IF(OR(F545="",F545=0),"לא","כן")</f>
      </c>
      <c r="I545" s="3">
        <f>IF(ISNUMBER(SEARCH(",",D545)),"כן","לא")</f>
      </c>
      <c r="J545" s="3">
        <f>IF(OR(ISNUMBER(SEARCH(",",D545)),ISNUMBER(SEARCH("קבוצות",G545))),"כן","לא")</f>
      </c>
    </row>
    <row r="546" spans="2:10" x14ac:dyDescent="0.25">
      <c r="B546" s="11"/>
      <c r="C546" s="11"/>
      <c r="D546" s="11"/>
      <c r="E546" s="11"/>
      <c r="F546" s="11"/>
      <c r="G546" s="11"/>
      <c r="H546" s="3">
        <f>IF(OR(F546="",F546=0),"לא","כן")</f>
      </c>
      <c r="I546" s="3">
        <f>IF(ISNUMBER(SEARCH(",",D546)),"כן","לא")</f>
      </c>
      <c r="J546" s="3">
        <f>IF(OR(ISNUMBER(SEARCH(",",D546)),ISNUMBER(SEARCH("קבוצות",G546))),"כן","לא")</f>
      </c>
    </row>
    <row r="547" spans="2:10" x14ac:dyDescent="0.25">
      <c r="B547" s="11"/>
      <c r="C547" s="11"/>
      <c r="D547" s="11"/>
      <c r="E547" s="11"/>
      <c r="F547" s="11"/>
      <c r="G547" s="11"/>
      <c r="H547" s="3">
        <f>IF(OR(F547="",F547=0),"לא","כן")</f>
      </c>
      <c r="I547" s="3">
        <f>IF(ISNUMBER(SEARCH(",",D547)),"כן","לא")</f>
      </c>
      <c r="J547" s="3">
        <f>IF(OR(ISNUMBER(SEARCH(",",D547)),ISNUMBER(SEARCH("קבוצות",G547))),"כן","לא")</f>
      </c>
    </row>
    <row r="548" spans="2:10" x14ac:dyDescent="0.25">
      <c r="B548" s="11"/>
      <c r="C548" s="11"/>
      <c r="D548" s="11"/>
      <c r="E548" s="11"/>
      <c r="F548" s="11"/>
      <c r="G548" s="11"/>
      <c r="H548" s="3">
        <f>IF(OR(F548="",F548=0),"לא","כן")</f>
      </c>
      <c r="I548" s="3">
        <f>IF(ISNUMBER(SEARCH(",",D548)),"כן","לא")</f>
      </c>
      <c r="J548" s="3">
        <f>IF(OR(ISNUMBER(SEARCH(",",D548)),ISNUMBER(SEARCH("קבוצות",G548))),"כן","לא")</f>
      </c>
    </row>
    <row r="549" spans="2:10" x14ac:dyDescent="0.25">
      <c r="B549" s="11"/>
      <c r="C549" s="11"/>
      <c r="D549" s="11"/>
      <c r="E549" s="11"/>
      <c r="F549" s="11"/>
      <c r="G549" s="11"/>
      <c r="H549" s="3">
        <f>IF(OR(F549="",F549=0),"לא","כן")</f>
      </c>
      <c r="I549" s="3">
        <f>IF(ISNUMBER(SEARCH(",",D549)),"כן","לא")</f>
      </c>
      <c r="J549" s="3">
        <f>IF(OR(ISNUMBER(SEARCH(",",D549)),ISNUMBER(SEARCH("קבוצות",G549))),"כן","לא")</f>
      </c>
    </row>
    <row r="550" spans="2:10" x14ac:dyDescent="0.25">
      <c r="B550" s="11"/>
      <c r="C550" s="11"/>
      <c r="D550" s="11"/>
      <c r="E550" s="11"/>
      <c r="F550" s="11"/>
      <c r="G550" s="11"/>
      <c r="H550" s="3">
        <f>IF(OR(F550="",F550=0),"לא","כן")</f>
      </c>
      <c r="I550" s="3">
        <f>IF(ISNUMBER(SEARCH(",",D550)),"כן","לא")</f>
      </c>
      <c r="J550" s="3">
        <f>IF(OR(ISNUMBER(SEARCH(",",D550)),ISNUMBER(SEARCH("קבוצות",G550))),"כן","לא")</f>
      </c>
    </row>
    <row r="551" spans="2:10" x14ac:dyDescent="0.25">
      <c r="B551" s="11"/>
      <c r="C551" s="11"/>
      <c r="D551" s="11"/>
      <c r="E551" s="11"/>
      <c r="F551" s="11"/>
      <c r="G551" s="11"/>
      <c r="H551" s="3">
        <f>IF(OR(F551="",F551=0),"לא","כן")</f>
      </c>
      <c r="I551" s="3">
        <f>IF(ISNUMBER(SEARCH(",",D551)),"כן","לא")</f>
      </c>
      <c r="J551" s="3">
        <f>IF(OR(ISNUMBER(SEARCH(",",D551)),ISNUMBER(SEARCH("קבוצות",G551))),"כן","לא")</f>
      </c>
    </row>
    <row r="552" spans="2:10" x14ac:dyDescent="0.25">
      <c r="B552" s="11"/>
      <c r="C552" s="11"/>
      <c r="D552" s="11"/>
      <c r="E552" s="11"/>
      <c r="F552" s="11"/>
      <c r="G552" s="11"/>
      <c r="H552" s="3">
        <f>IF(OR(F552="",F552=0),"לא","כן")</f>
      </c>
      <c r="I552" s="3">
        <f>IF(ISNUMBER(SEARCH(",",D552)),"כן","לא")</f>
      </c>
      <c r="J552" s="3">
        <f>IF(OR(ISNUMBER(SEARCH(",",D552)),ISNUMBER(SEARCH("קבוצות",G552))),"כן","לא")</f>
      </c>
    </row>
    <row r="553" spans="2:10" x14ac:dyDescent="0.25">
      <c r="B553" s="11"/>
      <c r="C553" s="11"/>
      <c r="D553" s="11"/>
      <c r="E553" s="11"/>
      <c r="F553" s="11"/>
      <c r="G553" s="11"/>
      <c r="H553" s="3">
        <f>IF(OR(F553="",F553=0),"לא","כן")</f>
      </c>
      <c r="I553" s="3">
        <f>IF(ISNUMBER(SEARCH(",",D553)),"כן","לא")</f>
      </c>
      <c r="J553" s="3">
        <f>IF(OR(ISNUMBER(SEARCH(",",D553)),ISNUMBER(SEARCH("קבוצות",G553))),"כן","לא")</f>
      </c>
    </row>
    <row r="554" spans="2:10" x14ac:dyDescent="0.25">
      <c r="B554" s="11"/>
      <c r="C554" s="11"/>
      <c r="D554" s="11"/>
      <c r="E554" s="11"/>
      <c r="F554" s="11"/>
      <c r="G554" s="11"/>
      <c r="H554" s="3">
        <f>IF(OR(F554="",F554=0),"לא","כן")</f>
      </c>
      <c r="I554" s="3">
        <f>IF(ISNUMBER(SEARCH(",",D554)),"כן","לא")</f>
      </c>
      <c r="J554" s="3">
        <f>IF(OR(ISNUMBER(SEARCH(",",D554)),ISNUMBER(SEARCH("קבוצות",G554))),"כן","לא")</f>
      </c>
    </row>
    <row r="555" spans="2:10" x14ac:dyDescent="0.25">
      <c r="B555" s="11"/>
      <c r="C555" s="11"/>
      <c r="D555" s="11"/>
      <c r="E555" s="11"/>
      <c r="F555" s="11"/>
      <c r="G555" s="11"/>
      <c r="H555" s="3">
        <f>IF(OR(F555="",F555=0),"לא","כן")</f>
      </c>
      <c r="I555" s="3">
        <f>IF(ISNUMBER(SEARCH(",",D555)),"כן","לא")</f>
      </c>
      <c r="J555" s="3">
        <f>IF(OR(ISNUMBER(SEARCH(",",D555)),ISNUMBER(SEARCH("קבוצות",G555))),"כן","לא")</f>
      </c>
    </row>
    <row r="556" spans="2:10" x14ac:dyDescent="0.25">
      <c r="B556" s="11"/>
      <c r="C556" s="11"/>
      <c r="D556" s="11"/>
      <c r="E556" s="11"/>
      <c r="F556" s="11"/>
      <c r="G556" s="11"/>
      <c r="H556" s="3">
        <f>IF(OR(F556="",F556=0),"לא","כן")</f>
      </c>
      <c r="I556" s="3">
        <f>IF(ISNUMBER(SEARCH(",",D556)),"כן","לא")</f>
      </c>
      <c r="J556" s="3">
        <f>IF(OR(ISNUMBER(SEARCH(",",D556)),ISNUMBER(SEARCH("קבוצות",G556))),"כן","לא")</f>
      </c>
    </row>
    <row r="557" spans="2:10" x14ac:dyDescent="0.25">
      <c r="B557" s="11"/>
      <c r="C557" s="11"/>
      <c r="D557" s="11"/>
      <c r="E557" s="11"/>
      <c r="F557" s="11"/>
      <c r="G557" s="11"/>
      <c r="H557" s="3">
        <f>IF(OR(F557="",F557=0),"לא","כן")</f>
      </c>
      <c r="I557" s="3">
        <f>IF(ISNUMBER(SEARCH(",",D557)),"כן","לא")</f>
      </c>
      <c r="J557" s="3">
        <f>IF(OR(ISNUMBER(SEARCH(",",D557)),ISNUMBER(SEARCH("קבוצות",G557))),"כן","לא")</f>
      </c>
    </row>
    <row r="558" spans="2:10" x14ac:dyDescent="0.25">
      <c r="B558" s="11"/>
      <c r="C558" s="11"/>
      <c r="D558" s="11"/>
      <c r="E558" s="11"/>
      <c r="F558" s="11"/>
      <c r="G558" s="11"/>
      <c r="H558" s="3">
        <f>IF(OR(F558="",F558=0),"לא","כן")</f>
      </c>
      <c r="I558" s="3">
        <f>IF(ISNUMBER(SEARCH(",",D558)),"כן","לא")</f>
      </c>
      <c r="J558" s="3">
        <f>IF(OR(ISNUMBER(SEARCH(",",D558)),ISNUMBER(SEARCH("קבוצות",G558))),"כן","לא")</f>
      </c>
    </row>
    <row r="559" spans="2:10" x14ac:dyDescent="0.25">
      <c r="B559" s="11"/>
      <c r="C559" s="11"/>
      <c r="D559" s="11"/>
      <c r="E559" s="11"/>
      <c r="F559" s="11"/>
      <c r="G559" s="11"/>
      <c r="H559" s="3">
        <f>IF(OR(F559="",F559=0),"לא","כן")</f>
      </c>
      <c r="I559" s="3">
        <f>IF(ISNUMBER(SEARCH(",",D559)),"כן","לא")</f>
      </c>
      <c r="J559" s="3">
        <f>IF(OR(ISNUMBER(SEARCH(",",D559)),ISNUMBER(SEARCH("קבוצות",G559))),"כן","לא")</f>
      </c>
    </row>
    <row r="560" spans="2:10" x14ac:dyDescent="0.25">
      <c r="B560" s="11"/>
      <c r="C560" s="11"/>
      <c r="D560" s="11"/>
      <c r="E560" s="11"/>
      <c r="F560" s="11"/>
      <c r="G560" s="11"/>
      <c r="H560" s="3">
        <f>IF(OR(F560="",F560=0),"לא","כן")</f>
      </c>
      <c r="I560" s="3">
        <f>IF(ISNUMBER(SEARCH(",",D560)),"כן","לא")</f>
      </c>
      <c r="J560" s="3">
        <f>IF(OR(ISNUMBER(SEARCH(",",D560)),ISNUMBER(SEARCH("קבוצות",G560))),"כן","לא")</f>
      </c>
    </row>
    <row r="561" spans="2:10" x14ac:dyDescent="0.25">
      <c r="B561" s="11"/>
      <c r="C561" s="11"/>
      <c r="D561" s="11"/>
      <c r="E561" s="11"/>
      <c r="F561" s="11"/>
      <c r="G561" s="11"/>
      <c r="H561" s="3">
        <f>IF(OR(F561="",F561=0),"לא","כן")</f>
      </c>
      <c r="I561" s="3">
        <f>IF(ISNUMBER(SEARCH(",",D561)),"כן","לא")</f>
      </c>
      <c r="J561" s="3">
        <f>IF(OR(ISNUMBER(SEARCH(",",D561)),ISNUMBER(SEARCH("קבוצות",G561))),"כן","לא")</f>
      </c>
    </row>
    <row r="562" spans="2:10" x14ac:dyDescent="0.25">
      <c r="B562" s="11"/>
      <c r="C562" s="11"/>
      <c r="D562" s="11"/>
      <c r="E562" s="11"/>
      <c r="F562" s="11"/>
      <c r="G562" s="11"/>
      <c r="H562" s="3">
        <f>IF(OR(F562="",F562=0),"לא","כן")</f>
      </c>
      <c r="I562" s="3">
        <f>IF(ISNUMBER(SEARCH(",",D562)),"כן","לא")</f>
      </c>
      <c r="J562" s="3">
        <f>IF(OR(ISNUMBER(SEARCH(",",D562)),ISNUMBER(SEARCH("קבוצות",G562))),"כן","לא")</f>
      </c>
    </row>
    <row r="563" spans="2:10" x14ac:dyDescent="0.25">
      <c r="B563" s="11"/>
      <c r="C563" s="11"/>
      <c r="D563" s="11"/>
      <c r="E563" s="11"/>
      <c r="F563" s="11"/>
      <c r="G563" s="11"/>
      <c r="H563" s="3">
        <f>IF(OR(F563="",F563=0),"לא","כן")</f>
      </c>
      <c r="I563" s="3">
        <f>IF(ISNUMBER(SEARCH(",",D563)),"כן","לא")</f>
      </c>
      <c r="J563" s="3">
        <f>IF(OR(ISNUMBER(SEARCH(",",D563)),ISNUMBER(SEARCH("קבוצות",G563))),"כן","לא")</f>
      </c>
    </row>
    <row r="564" spans="2:10" x14ac:dyDescent="0.25">
      <c r="B564" s="11"/>
      <c r="C564" s="11"/>
      <c r="D564" s="11"/>
      <c r="E564" s="11"/>
      <c r="F564" s="11"/>
      <c r="G564" s="11"/>
      <c r="H564" s="3">
        <f>IF(OR(F564="",F564=0),"לא","כן")</f>
      </c>
      <c r="I564" s="3">
        <f>IF(ISNUMBER(SEARCH(",",D564)),"כן","לא")</f>
      </c>
      <c r="J564" s="3">
        <f>IF(OR(ISNUMBER(SEARCH(",",D564)),ISNUMBER(SEARCH("קבוצות",G564))),"כן","לא")</f>
      </c>
    </row>
    <row r="565" spans="2:10" x14ac:dyDescent="0.25">
      <c r="B565" s="11"/>
      <c r="C565" s="11"/>
      <c r="D565" s="11"/>
      <c r="E565" s="11"/>
      <c r="F565" s="11"/>
      <c r="G565" s="11"/>
      <c r="H565" s="3">
        <f>IF(OR(F565="",F565=0),"לא","כן")</f>
      </c>
      <c r="I565" s="3">
        <f>IF(ISNUMBER(SEARCH(",",D565)),"כן","לא")</f>
      </c>
      <c r="J565" s="3">
        <f>IF(OR(ISNUMBER(SEARCH(",",D565)),ISNUMBER(SEARCH("קבוצות",G565))),"כן","לא")</f>
      </c>
    </row>
    <row r="566" spans="2:10" x14ac:dyDescent="0.25">
      <c r="B566" s="11"/>
      <c r="C566" s="11"/>
      <c r="D566" s="11"/>
      <c r="E566" s="11"/>
      <c r="F566" s="11"/>
      <c r="G566" s="11"/>
      <c r="H566" s="3">
        <f>IF(OR(F566="",F566=0),"לא","כן")</f>
      </c>
      <c r="I566" s="3">
        <f>IF(ISNUMBER(SEARCH(",",D566)),"כן","לא")</f>
      </c>
      <c r="J566" s="3">
        <f>IF(OR(ISNUMBER(SEARCH(",",D566)),ISNUMBER(SEARCH("קבוצות",G566))),"כן","לא")</f>
      </c>
    </row>
    <row r="567" spans="2:10" x14ac:dyDescent="0.25">
      <c r="B567" s="11"/>
      <c r="C567" s="11"/>
      <c r="D567" s="11"/>
      <c r="E567" s="11"/>
      <c r="F567" s="11"/>
      <c r="G567" s="11"/>
      <c r="H567" s="3">
        <f>IF(OR(F567="",F567=0),"לא","כן")</f>
      </c>
      <c r="I567" s="3">
        <f>IF(ISNUMBER(SEARCH(",",D567)),"כן","לא")</f>
      </c>
      <c r="J567" s="3">
        <f>IF(OR(ISNUMBER(SEARCH(",",D567)),ISNUMBER(SEARCH("קבוצות",G567))),"כן","לא")</f>
      </c>
    </row>
    <row r="568" spans="2:10" x14ac:dyDescent="0.25">
      <c r="B568" s="11"/>
      <c r="C568" s="11"/>
      <c r="D568" s="11"/>
      <c r="E568" s="11"/>
      <c r="F568" s="11"/>
      <c r="G568" s="11"/>
      <c r="H568" s="3">
        <f>IF(OR(F568="",F568=0),"לא","כן")</f>
      </c>
      <c r="I568" s="3">
        <f>IF(ISNUMBER(SEARCH(",",D568)),"כן","לא")</f>
      </c>
      <c r="J568" s="3">
        <f>IF(OR(ISNUMBER(SEARCH(",",D568)),ISNUMBER(SEARCH("קבוצות",G568))),"כן","לא")</f>
      </c>
    </row>
    <row r="569" spans="2:10" x14ac:dyDescent="0.25">
      <c r="B569" s="11"/>
      <c r="C569" s="11"/>
      <c r="D569" s="11"/>
      <c r="E569" s="11"/>
      <c r="F569" s="11"/>
      <c r="G569" s="11"/>
      <c r="H569" s="3">
        <f>IF(OR(F569="",F569=0),"לא","כן")</f>
      </c>
      <c r="I569" s="3">
        <f>IF(ISNUMBER(SEARCH(",",D569)),"כן","לא")</f>
      </c>
      <c r="J569" s="3">
        <f>IF(OR(ISNUMBER(SEARCH(",",D569)),ISNUMBER(SEARCH("קבוצות",G569))),"כן","לא")</f>
      </c>
    </row>
    <row r="570" spans="2:10" x14ac:dyDescent="0.25">
      <c r="B570" s="11"/>
      <c r="C570" s="11"/>
      <c r="D570" s="11"/>
      <c r="E570" s="11"/>
      <c r="F570" s="11"/>
      <c r="G570" s="11"/>
      <c r="H570" s="3">
        <f>IF(OR(F570="",F570=0),"לא","כן")</f>
      </c>
      <c r="I570" s="3">
        <f>IF(ISNUMBER(SEARCH(",",D570)),"כן","לא")</f>
      </c>
      <c r="J570" s="3">
        <f>IF(OR(ISNUMBER(SEARCH(",",D570)),ISNUMBER(SEARCH("קבוצות",G570))),"כן","לא")</f>
      </c>
    </row>
    <row r="571" spans="2:10" x14ac:dyDescent="0.25">
      <c r="B571" s="11"/>
      <c r="C571" s="11"/>
      <c r="D571" s="11"/>
      <c r="E571" s="11"/>
      <c r="F571" s="11"/>
      <c r="G571" s="11"/>
      <c r="H571" s="3">
        <f>IF(OR(F571="",F571=0),"לא","כן")</f>
      </c>
      <c r="I571" s="3">
        <f>IF(ISNUMBER(SEARCH(",",D571)),"כן","לא")</f>
      </c>
      <c r="J571" s="3">
        <f>IF(OR(ISNUMBER(SEARCH(",",D571)),ISNUMBER(SEARCH("קבוצות",G571))),"כן","לא")</f>
      </c>
    </row>
    <row r="572" spans="2:10" x14ac:dyDescent="0.25">
      <c r="B572" s="11"/>
      <c r="C572" s="11"/>
      <c r="D572" s="11"/>
      <c r="E572" s="11"/>
      <c r="F572" s="11"/>
      <c r="G572" s="11"/>
      <c r="H572" s="3">
        <f>IF(OR(F572="",F572=0),"לא","כן")</f>
      </c>
      <c r="I572" s="3">
        <f>IF(ISNUMBER(SEARCH(",",D572)),"כן","לא")</f>
      </c>
      <c r="J572" s="3">
        <f>IF(OR(ISNUMBER(SEARCH(",",D572)),ISNUMBER(SEARCH("קבוצות",G572))),"כן","לא")</f>
      </c>
    </row>
    <row r="573" spans="2:10" x14ac:dyDescent="0.25">
      <c r="B573" s="11"/>
      <c r="C573" s="11"/>
      <c r="D573" s="11"/>
      <c r="E573" s="11"/>
      <c r="F573" s="11"/>
      <c r="G573" s="11"/>
      <c r="H573" s="3">
        <f>IF(OR(F573="",F573=0),"לא","כן")</f>
      </c>
      <c r="I573" s="3">
        <f>IF(ISNUMBER(SEARCH(",",D573)),"כן","לא")</f>
      </c>
      <c r="J573" s="3">
        <f>IF(OR(ISNUMBER(SEARCH(",",D573)),ISNUMBER(SEARCH("קבוצות",G573))),"כן","לא")</f>
      </c>
    </row>
    <row r="574" spans="2:10" x14ac:dyDescent="0.25">
      <c r="B574" s="11"/>
      <c r="C574" s="11"/>
      <c r="D574" s="11"/>
      <c r="E574" s="11"/>
      <c r="F574" s="11"/>
      <c r="G574" s="11"/>
      <c r="H574" s="3">
        <f>IF(OR(F574="",F574=0),"לא","כן")</f>
      </c>
      <c r="I574" s="3">
        <f>IF(ISNUMBER(SEARCH(",",D574)),"כן","לא")</f>
      </c>
      <c r="J574" s="3">
        <f>IF(OR(ISNUMBER(SEARCH(",",D574)),ISNUMBER(SEARCH("קבוצות",G574))),"כן","לא")</f>
      </c>
    </row>
    <row r="575" spans="2:10" x14ac:dyDescent="0.25">
      <c r="B575" s="11"/>
      <c r="C575" s="11"/>
      <c r="D575" s="11"/>
      <c r="E575" s="11"/>
      <c r="F575" s="11"/>
      <c r="G575" s="11"/>
      <c r="H575" s="3">
        <f>IF(OR(F575="",F575=0),"לא","כן")</f>
      </c>
      <c r="I575" s="3">
        <f>IF(ISNUMBER(SEARCH(",",D575)),"כן","לא")</f>
      </c>
      <c r="J575" s="3">
        <f>IF(OR(ISNUMBER(SEARCH(",",D575)),ISNUMBER(SEARCH("קבוצות",G575))),"כן","לא")</f>
      </c>
    </row>
    <row r="576" spans="2:10" x14ac:dyDescent="0.25">
      <c r="B576" s="11"/>
      <c r="C576" s="11"/>
      <c r="D576" s="11"/>
      <c r="E576" s="11"/>
      <c r="F576" s="11"/>
      <c r="G576" s="11"/>
      <c r="H576" s="3">
        <f>IF(OR(F576="",F576=0),"לא","כן")</f>
      </c>
      <c r="I576" s="3">
        <f>IF(ISNUMBER(SEARCH(",",D576)),"כן","לא")</f>
      </c>
      <c r="J576" s="3">
        <f>IF(OR(ISNUMBER(SEARCH(",",D576)),ISNUMBER(SEARCH("קבוצות",G576))),"כן","לא")</f>
      </c>
    </row>
    <row r="577" spans="2:10" x14ac:dyDescent="0.25">
      <c r="B577" s="11"/>
      <c r="C577" s="11"/>
      <c r="D577" s="11"/>
      <c r="E577" s="11"/>
      <c r="F577" s="11"/>
      <c r="G577" s="11"/>
      <c r="H577" s="3">
        <f>IF(OR(F577="",F577=0),"לא","כן")</f>
      </c>
      <c r="I577" s="3">
        <f>IF(ISNUMBER(SEARCH(",",D577)),"כן","לא")</f>
      </c>
      <c r="J577" s="3">
        <f>IF(OR(ISNUMBER(SEARCH(",",D577)),ISNUMBER(SEARCH("קבוצות",G577))),"כן","לא")</f>
      </c>
    </row>
    <row r="578" spans="2:10" x14ac:dyDescent="0.25">
      <c r="B578" s="11"/>
      <c r="C578" s="11"/>
      <c r="D578" s="11"/>
      <c r="E578" s="11"/>
      <c r="F578" s="11"/>
      <c r="G578" s="11"/>
      <c r="H578" s="3">
        <f>IF(OR(F578="",F578=0),"לא","כן")</f>
      </c>
      <c r="I578" s="3">
        <f>IF(ISNUMBER(SEARCH(",",D578)),"כן","לא")</f>
      </c>
      <c r="J578" s="3">
        <f>IF(OR(ISNUMBER(SEARCH(",",D578)),ISNUMBER(SEARCH("קבוצות",G578))),"כן","לא")</f>
      </c>
    </row>
    <row r="579" spans="2:10" x14ac:dyDescent="0.25">
      <c r="B579" s="11"/>
      <c r="C579" s="11"/>
      <c r="D579" s="11"/>
      <c r="E579" s="11"/>
      <c r="F579" s="11"/>
      <c r="G579" s="11"/>
      <c r="H579" s="3">
        <f>IF(OR(F579="",F579=0),"לא","כן")</f>
      </c>
      <c r="I579" s="3">
        <f>IF(ISNUMBER(SEARCH(",",D579)),"כן","לא")</f>
      </c>
      <c r="J579" s="3">
        <f>IF(OR(ISNUMBER(SEARCH(",",D579)),ISNUMBER(SEARCH("קבוצות",G579))),"כן","לא")</f>
      </c>
    </row>
    <row r="580" spans="2:10" x14ac:dyDescent="0.25">
      <c r="B580" s="11"/>
      <c r="C580" s="11"/>
      <c r="D580" s="11"/>
      <c r="E580" s="11"/>
      <c r="F580" s="11"/>
      <c r="G580" s="11"/>
      <c r="H580" s="3">
        <f>IF(OR(F580="",F580=0),"לא","כן")</f>
      </c>
      <c r="I580" s="3">
        <f>IF(ISNUMBER(SEARCH(",",D580)),"כן","לא")</f>
      </c>
      <c r="J580" s="3">
        <f>IF(OR(ISNUMBER(SEARCH(",",D580)),ISNUMBER(SEARCH("קבוצות",G580))),"כן","לא")</f>
      </c>
    </row>
    <row r="581" spans="2:10" x14ac:dyDescent="0.25">
      <c r="B581" s="11"/>
      <c r="C581" s="11"/>
      <c r="D581" s="11"/>
      <c r="E581" s="11"/>
      <c r="F581" s="11"/>
      <c r="G581" s="11"/>
      <c r="H581" s="3">
        <f>IF(OR(F581="",F581=0),"לא","כן")</f>
      </c>
      <c r="I581" s="3">
        <f>IF(ISNUMBER(SEARCH(",",D581)),"כן","לא")</f>
      </c>
      <c r="J581" s="3">
        <f>IF(OR(ISNUMBER(SEARCH(",",D581)),ISNUMBER(SEARCH("קבוצות",G581))),"כן","לא")</f>
      </c>
    </row>
    <row r="582" spans="2:10" x14ac:dyDescent="0.25">
      <c r="B582" s="11"/>
      <c r="C582" s="11"/>
      <c r="D582" s="11"/>
      <c r="E582" s="11"/>
      <c r="F582" s="11"/>
      <c r="G582" s="11"/>
      <c r="H582" s="3">
        <f>IF(OR(F582="",F582=0),"לא","כן")</f>
      </c>
      <c r="I582" s="3">
        <f>IF(ISNUMBER(SEARCH(",",D582)),"כן","לא")</f>
      </c>
      <c r="J582" s="3">
        <f>IF(OR(ISNUMBER(SEARCH(",",D582)),ISNUMBER(SEARCH("קבוצות",G582))),"כן","לא")</f>
      </c>
    </row>
    <row r="583" spans="2:10" x14ac:dyDescent="0.25">
      <c r="B583" s="11"/>
      <c r="C583" s="11"/>
      <c r="D583" s="11"/>
      <c r="E583" s="11"/>
      <c r="F583" s="11"/>
      <c r="G583" s="11"/>
      <c r="H583" s="3">
        <f>IF(OR(F583="",F583=0),"לא","כן")</f>
      </c>
      <c r="I583" s="3">
        <f>IF(ISNUMBER(SEARCH(",",D583)),"כן","לא")</f>
      </c>
      <c r="J583" s="3">
        <f>IF(OR(ISNUMBER(SEARCH(",",D583)),ISNUMBER(SEARCH("קבוצות",G583))),"כן","לא")</f>
      </c>
    </row>
    <row r="584" spans="2:10" x14ac:dyDescent="0.25">
      <c r="B584" s="11"/>
      <c r="C584" s="11"/>
      <c r="D584" s="11"/>
      <c r="E584" s="11"/>
      <c r="F584" s="11"/>
      <c r="G584" s="11"/>
      <c r="H584" s="3">
        <f>IF(OR(F584="",F584=0),"לא","כן")</f>
      </c>
      <c r="I584" s="3">
        <f>IF(ISNUMBER(SEARCH(",",D584)),"כן","לא")</f>
      </c>
      <c r="J584" s="3">
        <f>IF(OR(ISNUMBER(SEARCH(",",D584)),ISNUMBER(SEARCH("קבוצות",G584))),"כן","לא")</f>
      </c>
    </row>
    <row r="585" spans="2:10" x14ac:dyDescent="0.25">
      <c r="B585" s="11"/>
      <c r="C585" s="11"/>
      <c r="D585" s="11"/>
      <c r="E585" s="11"/>
      <c r="F585" s="11"/>
      <c r="G585" s="11"/>
      <c r="H585" s="3">
        <f>IF(OR(F585="",F585=0),"לא","כן")</f>
      </c>
      <c r="I585" s="3">
        <f>IF(ISNUMBER(SEARCH(",",D585)),"כן","לא")</f>
      </c>
      <c r="J585" s="3">
        <f>IF(OR(ISNUMBER(SEARCH(",",D585)),ISNUMBER(SEARCH("קבוצות",G585))),"כן","לא")</f>
      </c>
    </row>
    <row r="586" spans="2:10" x14ac:dyDescent="0.25">
      <c r="B586" s="11"/>
      <c r="C586" s="11"/>
      <c r="D586" s="11"/>
      <c r="E586" s="11"/>
      <c r="F586" s="11"/>
      <c r="G586" s="11"/>
      <c r="H586" s="3">
        <f>IF(OR(F586="",F586=0),"לא","כן")</f>
      </c>
      <c r="I586" s="3">
        <f>IF(ISNUMBER(SEARCH(",",D586)),"כן","לא")</f>
      </c>
      <c r="J586" s="3">
        <f>IF(OR(ISNUMBER(SEARCH(",",D586)),ISNUMBER(SEARCH("קבוצות",G586))),"כן","לא")</f>
      </c>
    </row>
    <row r="587" spans="2:10" x14ac:dyDescent="0.25">
      <c r="B587" s="11"/>
      <c r="C587" s="11"/>
      <c r="D587" s="11"/>
      <c r="E587" s="11"/>
      <c r="F587" s="11"/>
      <c r="G587" s="11"/>
      <c r="H587" s="3">
        <f>IF(OR(F587="",F587=0),"לא","כן")</f>
      </c>
      <c r="I587" s="3">
        <f>IF(ISNUMBER(SEARCH(",",D587)),"כן","לא")</f>
      </c>
      <c r="J587" s="3">
        <f>IF(OR(ISNUMBER(SEARCH(",",D587)),ISNUMBER(SEARCH("קבוצות",G587))),"כן","לא")</f>
      </c>
    </row>
    <row r="588" spans="2:10" x14ac:dyDescent="0.25">
      <c r="B588" s="11"/>
      <c r="C588" s="11"/>
      <c r="D588" s="11"/>
      <c r="E588" s="11"/>
      <c r="F588" s="11"/>
      <c r="G588" s="11"/>
      <c r="H588" s="3">
        <f>IF(OR(F588="",F588=0),"לא","כן")</f>
      </c>
      <c r="I588" s="3">
        <f>IF(ISNUMBER(SEARCH(",",D588)),"כן","לא")</f>
      </c>
      <c r="J588" s="3">
        <f>IF(OR(ISNUMBER(SEARCH(",",D588)),ISNUMBER(SEARCH("קבוצות",G588))),"כן","לא")</f>
      </c>
    </row>
    <row r="589" spans="2:10" x14ac:dyDescent="0.25">
      <c r="B589" s="11"/>
      <c r="C589" s="11"/>
      <c r="D589" s="11"/>
      <c r="E589" s="11"/>
      <c r="F589" s="11"/>
      <c r="G589" s="11"/>
      <c r="H589" s="3">
        <f>IF(OR(F589="",F589=0),"לא","כן")</f>
      </c>
      <c r="I589" s="3">
        <f>IF(ISNUMBER(SEARCH(",",D589)),"כן","לא")</f>
      </c>
      <c r="J589" s="3">
        <f>IF(OR(ISNUMBER(SEARCH(",",D589)),ISNUMBER(SEARCH("קבוצות",G589))),"כן","לא")</f>
      </c>
    </row>
    <row r="590" spans="2:10" x14ac:dyDescent="0.25">
      <c r="B590" s="11"/>
      <c r="C590" s="11"/>
      <c r="D590" s="11"/>
      <c r="E590" s="11"/>
      <c r="F590" s="11"/>
      <c r="G590" s="11"/>
      <c r="H590" s="3">
        <f>IF(OR(F590="",F590=0),"לא","כן")</f>
      </c>
      <c r="I590" s="3">
        <f>IF(ISNUMBER(SEARCH(",",D590)),"כן","לא")</f>
      </c>
      <c r="J590" s="3">
        <f>IF(OR(ISNUMBER(SEARCH(",",D590)),ISNUMBER(SEARCH("קבוצות",G590))),"כן","לא")</f>
      </c>
    </row>
    <row r="591" spans="2:10" x14ac:dyDescent="0.25">
      <c r="B591" s="11"/>
      <c r="C591" s="11"/>
      <c r="D591" s="11"/>
      <c r="E591" s="11"/>
      <c r="F591" s="11"/>
      <c r="G591" s="11"/>
      <c r="H591" s="3">
        <f>IF(OR(F591="",F591=0),"לא","כן")</f>
      </c>
      <c r="I591" s="3">
        <f>IF(ISNUMBER(SEARCH(",",D591)),"כן","לא")</f>
      </c>
      <c r="J591" s="3">
        <f>IF(OR(ISNUMBER(SEARCH(",",D591)),ISNUMBER(SEARCH("קבוצות",G591))),"כן","לא")</f>
      </c>
    </row>
    <row r="592" spans="2:10" x14ac:dyDescent="0.25">
      <c r="B592" s="11"/>
      <c r="C592" s="11"/>
      <c r="D592" s="11"/>
      <c r="E592" s="11"/>
      <c r="F592" s="11"/>
      <c r="G592" s="11"/>
      <c r="H592" s="3">
        <f>IF(OR(F592="",F592=0),"לא","כן")</f>
      </c>
      <c r="I592" s="3">
        <f>IF(ISNUMBER(SEARCH(",",D592)),"כן","לא")</f>
      </c>
      <c r="J592" s="3">
        <f>IF(OR(ISNUMBER(SEARCH(",",D592)),ISNUMBER(SEARCH("קבוצות",G592))),"כן","לא")</f>
      </c>
    </row>
    <row r="593" spans="2:10" x14ac:dyDescent="0.25">
      <c r="B593" s="11"/>
      <c r="C593" s="11"/>
      <c r="D593" s="11"/>
      <c r="E593" s="11"/>
      <c r="F593" s="11"/>
      <c r="G593" s="11"/>
      <c r="H593" s="3">
        <f>IF(OR(F593="",F593=0),"לא","כן")</f>
      </c>
      <c r="I593" s="3">
        <f>IF(ISNUMBER(SEARCH(",",D593)),"כן","לא")</f>
      </c>
      <c r="J593" s="3">
        <f>IF(OR(ISNUMBER(SEARCH(",",D593)),ISNUMBER(SEARCH("קבוצות",G593))),"כן","לא")</f>
      </c>
    </row>
    <row r="594" spans="2:10" x14ac:dyDescent="0.25">
      <c r="B594" s="11"/>
      <c r="C594" s="11"/>
      <c r="D594" s="11"/>
      <c r="E594" s="11"/>
      <c r="F594" s="11"/>
      <c r="G594" s="11"/>
      <c r="H594" s="3">
        <f>IF(OR(F594="",F594=0),"לא","כן")</f>
      </c>
      <c r="I594" s="3">
        <f>IF(ISNUMBER(SEARCH(",",D594)),"כן","לא")</f>
      </c>
      <c r="J594" s="3">
        <f>IF(OR(ISNUMBER(SEARCH(",",D594)),ISNUMBER(SEARCH("קבוצות",G594))),"כן","לא")</f>
      </c>
    </row>
    <row r="595" spans="2:10" x14ac:dyDescent="0.25">
      <c r="B595" s="11"/>
      <c r="C595" s="11"/>
      <c r="D595" s="11"/>
      <c r="E595" s="11"/>
      <c r="F595" s="11"/>
      <c r="G595" s="11"/>
      <c r="H595" s="3">
        <f>IF(OR(F595="",F595=0),"לא","כן")</f>
      </c>
      <c r="I595" s="3">
        <f>IF(ISNUMBER(SEARCH(",",D595)),"כן","לא")</f>
      </c>
      <c r="J595" s="3">
        <f>IF(OR(ISNUMBER(SEARCH(",",D595)),ISNUMBER(SEARCH("קבוצות",G595))),"כן","לא")</f>
      </c>
    </row>
    <row r="596" spans="2:10" x14ac:dyDescent="0.25">
      <c r="B596" s="11"/>
      <c r="C596" s="11"/>
      <c r="D596" s="11"/>
      <c r="E596" s="11"/>
      <c r="F596" s="11"/>
      <c r="G596" s="11"/>
      <c r="H596" s="3">
        <f>IF(OR(F596="",F596=0),"לא","כן")</f>
      </c>
      <c r="I596" s="3">
        <f>IF(ISNUMBER(SEARCH(",",D596)),"כן","לא")</f>
      </c>
      <c r="J596" s="3">
        <f>IF(OR(ISNUMBER(SEARCH(",",D596)),ISNUMBER(SEARCH("קבוצות",G596))),"כן","לא")</f>
      </c>
    </row>
    <row r="597" spans="2:10" x14ac:dyDescent="0.25">
      <c r="B597" s="11"/>
      <c r="C597" s="11"/>
      <c r="D597" s="11"/>
      <c r="E597" s="11"/>
      <c r="F597" s="11"/>
      <c r="G597" s="11"/>
      <c r="H597" s="3">
        <f>IF(OR(F597="",F597=0),"לא","כן")</f>
      </c>
      <c r="I597" s="3">
        <f>IF(ISNUMBER(SEARCH(",",D597)),"כן","לא")</f>
      </c>
      <c r="J597" s="3">
        <f>IF(OR(ISNUMBER(SEARCH(",",D597)),ISNUMBER(SEARCH("קבוצות",G597))),"כן","לא")</f>
      </c>
    </row>
    <row r="598" spans="2:10" x14ac:dyDescent="0.25">
      <c r="B598" s="11"/>
      <c r="C598" s="11"/>
      <c r="D598" s="11"/>
      <c r="E598" s="11"/>
      <c r="F598" s="11"/>
      <c r="G598" s="11"/>
      <c r="H598" s="3">
        <f>IF(OR(F598="",F598=0),"לא","כן")</f>
      </c>
      <c r="I598" s="3">
        <f>IF(ISNUMBER(SEARCH(",",D598)),"כן","לא")</f>
      </c>
      <c r="J598" s="3">
        <f>IF(OR(ISNUMBER(SEARCH(",",D598)),ISNUMBER(SEARCH("קבוצות",G598))),"כן","לא")</f>
      </c>
    </row>
    <row r="599" spans="2:10" x14ac:dyDescent="0.25">
      <c r="B599" s="11"/>
      <c r="C599" s="11"/>
      <c r="D599" s="11"/>
      <c r="E599" s="11"/>
      <c r="F599" s="11"/>
      <c r="G599" s="11"/>
      <c r="H599" s="3">
        <f>IF(OR(F599="",F599=0),"לא","כן")</f>
      </c>
      <c r="I599" s="3">
        <f>IF(ISNUMBER(SEARCH(",",D599)),"כן","לא")</f>
      </c>
      <c r="J599" s="3">
        <f>IF(OR(ISNUMBER(SEARCH(",",D599)),ISNUMBER(SEARCH("קבוצות",G599))),"כן","לא")</f>
      </c>
    </row>
    <row r="600" spans="2:10" x14ac:dyDescent="0.25">
      <c r="B600" s="11"/>
      <c r="C600" s="11"/>
      <c r="D600" s="11"/>
      <c r="E600" s="11"/>
      <c r="F600" s="11"/>
      <c r="G600" s="11"/>
      <c r="H600" s="3">
        <f>IF(OR(F600="",F600=0),"לא","כן")</f>
      </c>
      <c r="I600" s="3">
        <f>IF(ISNUMBER(SEARCH(",",D600)),"כן","לא")</f>
      </c>
      <c r="J600" s="3">
        <f>IF(OR(ISNUMBER(SEARCH(",",D600)),ISNUMBER(SEARCH("קבוצות",G600))),"כן","לא")</f>
      </c>
    </row>
    <row r="601" spans="2:10" x14ac:dyDescent="0.25">
      <c r="B601" s="11"/>
      <c r="C601" s="11"/>
      <c r="D601" s="11"/>
      <c r="E601" s="11"/>
      <c r="F601" s="11"/>
      <c r="G601" s="11"/>
      <c r="H601" s="3">
        <f>IF(OR(F601="",F601=0),"לא","כן")</f>
      </c>
      <c r="I601" s="3">
        <f>IF(ISNUMBER(SEARCH(",",D601)),"כן","לא")</f>
      </c>
      <c r="J601" s="3">
        <f>IF(OR(ISNUMBER(SEARCH(",",D601)),ISNUMBER(SEARCH("קבוצות",G601))),"כן","לא")</f>
      </c>
    </row>
    <row r="602" spans="2:10" x14ac:dyDescent="0.25">
      <c r="B602" s="11"/>
      <c r="C602" s="11"/>
      <c r="D602" s="11"/>
      <c r="E602" s="11"/>
      <c r="F602" s="11"/>
      <c r="G602" s="11"/>
      <c r="H602" s="3">
        <f>IF(OR(F602="",F602=0),"לא","כן")</f>
      </c>
      <c r="I602" s="3">
        <f>IF(ISNUMBER(SEARCH(",",D602)),"כן","לא")</f>
      </c>
      <c r="J602" s="3">
        <f>IF(OR(ISNUMBER(SEARCH(",",D602)),ISNUMBER(SEARCH("קבוצות",G602))),"כן","לא")</f>
      </c>
    </row>
    <row r="603" spans="2:10" x14ac:dyDescent="0.25">
      <c r="B603" s="11"/>
      <c r="C603" s="11"/>
      <c r="D603" s="11"/>
      <c r="E603" s="11"/>
      <c r="F603" s="11"/>
      <c r="G603" s="11"/>
      <c r="H603" s="3">
        <f>IF(OR(F603="",F603=0),"לא","כן")</f>
      </c>
      <c r="I603" s="3">
        <f>IF(ISNUMBER(SEARCH(",",D603)),"כן","לא")</f>
      </c>
      <c r="J603" s="3">
        <f>IF(OR(ISNUMBER(SEARCH(",",D603)),ISNUMBER(SEARCH("קבוצות",G603))),"כן","לא")</f>
      </c>
    </row>
    <row r="604" spans="2:10" x14ac:dyDescent="0.25">
      <c r="B604" s="11"/>
      <c r="C604" s="11"/>
      <c r="D604" s="11"/>
      <c r="E604" s="11"/>
      <c r="F604" s="11"/>
      <c r="G604" s="11"/>
      <c r="H604" s="3">
        <f>IF(OR(F604="",F604=0),"לא","כן")</f>
      </c>
      <c r="I604" s="3">
        <f>IF(ISNUMBER(SEARCH(",",D604)),"כן","לא")</f>
      </c>
      <c r="J604" s="3">
        <f>IF(OR(ISNUMBER(SEARCH(",",D604)),ISNUMBER(SEARCH("קבוצות",G604))),"כן","לא")</f>
      </c>
    </row>
    <row r="605" spans="2:10" x14ac:dyDescent="0.25">
      <c r="B605" s="11"/>
      <c r="C605" s="11"/>
      <c r="D605" s="11"/>
      <c r="E605" s="11"/>
      <c r="F605" s="11"/>
      <c r="G605" s="11"/>
      <c r="H605" s="3">
        <f>IF(OR(F605="",F605=0),"לא","כן")</f>
      </c>
      <c r="I605" s="3">
        <f>IF(ISNUMBER(SEARCH(",",D605)),"כן","לא")</f>
      </c>
      <c r="J605" s="3">
        <f>IF(OR(ISNUMBER(SEARCH(",",D605)),ISNUMBER(SEARCH("קבוצות",G605))),"כן","לא")</f>
      </c>
    </row>
    <row r="606" spans="2:10" x14ac:dyDescent="0.25">
      <c r="B606" s="11"/>
      <c r="C606" s="11"/>
      <c r="D606" s="11"/>
      <c r="E606" s="11"/>
      <c r="F606" s="11"/>
      <c r="G606" s="11"/>
      <c r="H606" s="3">
        <f>IF(OR(F606="",F606=0),"לא","כן")</f>
      </c>
      <c r="I606" s="3">
        <f>IF(ISNUMBER(SEARCH(",",D606)),"כן","לא")</f>
      </c>
      <c r="J606" s="3">
        <f>IF(OR(ISNUMBER(SEARCH(",",D606)),ISNUMBER(SEARCH("קבוצות",G606))),"כן","לא")</f>
      </c>
    </row>
    <row r="607" spans="2:10" x14ac:dyDescent="0.25">
      <c r="B607" s="11"/>
      <c r="C607" s="11"/>
      <c r="D607" s="11"/>
      <c r="E607" s="11"/>
      <c r="F607" s="11"/>
      <c r="G607" s="11"/>
      <c r="H607" s="3">
        <f>IF(OR(F607="",F607=0),"לא","כן")</f>
      </c>
      <c r="I607" s="3">
        <f>IF(ISNUMBER(SEARCH(",",D607)),"כן","לא")</f>
      </c>
      <c r="J607" s="3">
        <f>IF(OR(ISNUMBER(SEARCH(",",D607)),ISNUMBER(SEARCH("קבוצות",G607))),"כן","לא")</f>
      </c>
    </row>
    <row r="608" spans="2:10" x14ac:dyDescent="0.25">
      <c r="B608" s="11"/>
      <c r="C608" s="11"/>
      <c r="D608" s="11"/>
      <c r="E608" s="11"/>
      <c r="F608" s="11"/>
      <c r="G608" s="11"/>
      <c r="H608" s="3">
        <f>IF(OR(F608="",F608=0),"לא","כן")</f>
      </c>
      <c r="I608" s="3">
        <f>IF(ISNUMBER(SEARCH(",",D608)),"כן","לא")</f>
      </c>
      <c r="J608" s="3">
        <f>IF(OR(ISNUMBER(SEARCH(",",D608)),ISNUMBER(SEARCH("קבוצות",G608))),"כן","לא")</f>
      </c>
    </row>
    <row r="609" spans="2:10" x14ac:dyDescent="0.25">
      <c r="B609" s="11"/>
      <c r="C609" s="11"/>
      <c r="D609" s="11"/>
      <c r="E609" s="11"/>
      <c r="F609" s="11"/>
      <c r="G609" s="11"/>
      <c r="H609" s="3">
        <f>IF(OR(F609="",F609=0),"לא","כן")</f>
      </c>
      <c r="I609" s="3">
        <f>IF(ISNUMBER(SEARCH(",",D609)),"כן","לא")</f>
      </c>
      <c r="J609" s="3">
        <f>IF(OR(ISNUMBER(SEARCH(",",D609)),ISNUMBER(SEARCH("קבוצות",G609))),"כן","לא")</f>
      </c>
    </row>
    <row r="610" spans="2:10" x14ac:dyDescent="0.25">
      <c r="B610" s="11"/>
      <c r="C610" s="11"/>
      <c r="D610" s="11"/>
      <c r="E610" s="11"/>
      <c r="F610" s="11"/>
      <c r="G610" s="11"/>
      <c r="H610" s="3">
        <f>IF(OR(F610="",F610=0),"לא","כן")</f>
      </c>
      <c r="I610" s="3">
        <f>IF(ISNUMBER(SEARCH(",",D610)),"כן","לא")</f>
      </c>
      <c r="J610" s="3">
        <f>IF(OR(ISNUMBER(SEARCH(",",D610)),ISNUMBER(SEARCH("קבוצות",G610))),"כן","לא")</f>
      </c>
    </row>
    <row r="611" spans="2:10" x14ac:dyDescent="0.25">
      <c r="B611" s="11"/>
      <c r="C611" s="11"/>
      <c r="D611" s="11"/>
      <c r="E611" s="11"/>
      <c r="F611" s="11"/>
      <c r="G611" s="11"/>
      <c r="H611" s="3">
        <f>IF(OR(F611="",F611=0),"לא","כן")</f>
      </c>
      <c r="I611" s="3">
        <f>IF(ISNUMBER(SEARCH(",",D611)),"כן","לא")</f>
      </c>
      <c r="J611" s="3">
        <f>IF(OR(ISNUMBER(SEARCH(",",D611)),ISNUMBER(SEARCH("קבוצות",G611))),"כן","לא")</f>
      </c>
    </row>
    <row r="612" spans="2:10" x14ac:dyDescent="0.25">
      <c r="B612" s="11"/>
      <c r="C612" s="11"/>
      <c r="D612" s="11"/>
      <c r="E612" s="11"/>
      <c r="F612" s="11"/>
      <c r="G612" s="11"/>
      <c r="H612" s="3">
        <f>IF(OR(F612="",F612=0),"לא","כן")</f>
      </c>
      <c r="I612" s="3">
        <f>IF(ISNUMBER(SEARCH(",",D612)),"כן","לא")</f>
      </c>
      <c r="J612" s="3">
        <f>IF(OR(ISNUMBER(SEARCH(",",D612)),ISNUMBER(SEARCH("קבוצות",G612))),"כן","לא")</f>
      </c>
    </row>
    <row r="613" spans="2:10" x14ac:dyDescent="0.25">
      <c r="B613" s="11"/>
      <c r="C613" s="11"/>
      <c r="D613" s="11"/>
      <c r="E613" s="11"/>
      <c r="F613" s="11"/>
      <c r="G613" s="11"/>
      <c r="H613" s="3">
        <f>IF(OR(F613="",F613=0),"לא","כן")</f>
      </c>
      <c r="I613" s="3">
        <f>IF(ISNUMBER(SEARCH(",",D613)),"כן","לא")</f>
      </c>
      <c r="J613" s="3">
        <f>IF(OR(ISNUMBER(SEARCH(",",D613)),ISNUMBER(SEARCH("קבוצות",G613))),"כן","לא")</f>
      </c>
    </row>
    <row r="614" spans="2:10" x14ac:dyDescent="0.25">
      <c r="B614" s="11"/>
      <c r="C614" s="11"/>
      <c r="D614" s="11"/>
      <c r="E614" s="11"/>
      <c r="F614" s="11"/>
      <c r="G614" s="11"/>
      <c r="H614" s="3">
        <f>IF(OR(F614="",F614=0),"לא","כן")</f>
      </c>
      <c r="I614" s="3">
        <f>IF(ISNUMBER(SEARCH(",",D614)),"כן","לא")</f>
      </c>
      <c r="J614" s="3">
        <f>IF(OR(ISNUMBER(SEARCH(",",D614)),ISNUMBER(SEARCH("קבוצות",G614))),"כן","לא")</f>
      </c>
    </row>
    <row r="615" spans="2:10" x14ac:dyDescent="0.25">
      <c r="B615" s="11"/>
      <c r="C615" s="11"/>
      <c r="D615" s="11"/>
      <c r="E615" s="11"/>
      <c r="F615" s="11"/>
      <c r="G615" s="11"/>
      <c r="H615" s="3">
        <f>IF(OR(F615="",F615=0),"לא","כן")</f>
      </c>
      <c r="I615" s="3">
        <f>IF(ISNUMBER(SEARCH(",",D615)),"כן","לא")</f>
      </c>
      <c r="J615" s="3">
        <f>IF(OR(ISNUMBER(SEARCH(",",D615)),ISNUMBER(SEARCH("קבוצות",G615))),"כן","לא")</f>
      </c>
    </row>
    <row r="616" spans="2:10" x14ac:dyDescent="0.25">
      <c r="B616" s="11"/>
      <c r="C616" s="11"/>
      <c r="D616" s="11"/>
      <c r="E616" s="11"/>
      <c r="F616" s="11"/>
      <c r="G616" s="11"/>
      <c r="H616" s="3">
        <f>IF(OR(F616="",F616=0),"לא","כן")</f>
      </c>
      <c r="I616" s="3">
        <f>IF(ISNUMBER(SEARCH(",",D616)),"כן","לא")</f>
      </c>
      <c r="J616" s="3">
        <f>IF(OR(ISNUMBER(SEARCH(",",D616)),ISNUMBER(SEARCH("קבוצות",G616))),"כן","לא")</f>
      </c>
    </row>
    <row r="617" spans="2:10" x14ac:dyDescent="0.25">
      <c r="B617" s="11"/>
      <c r="C617" s="11"/>
      <c r="D617" s="11"/>
      <c r="E617" s="11"/>
      <c r="F617" s="11"/>
      <c r="G617" s="11"/>
      <c r="H617" s="3">
        <f>IF(OR(F617="",F617=0),"לא","כן")</f>
      </c>
      <c r="I617" s="3">
        <f>IF(ISNUMBER(SEARCH(",",D617)),"כן","לא")</f>
      </c>
      <c r="J617" s="3">
        <f>IF(OR(ISNUMBER(SEARCH(",",D617)),ISNUMBER(SEARCH("קבוצות",G617))),"כן","לא")</f>
      </c>
    </row>
    <row r="618" spans="2:10" x14ac:dyDescent="0.25">
      <c r="B618" s="11"/>
      <c r="C618" s="11"/>
      <c r="D618" s="11"/>
      <c r="E618" s="11"/>
      <c r="F618" s="11"/>
      <c r="G618" s="11"/>
      <c r="H618" s="3">
        <f>IF(OR(F618="",F618=0),"לא","כן")</f>
      </c>
      <c r="I618" s="3">
        <f>IF(ISNUMBER(SEARCH(",",D618)),"כן","לא")</f>
      </c>
      <c r="J618" s="3">
        <f>IF(OR(ISNUMBER(SEARCH(",",D618)),ISNUMBER(SEARCH("קבוצות",G618))),"כן","לא")</f>
      </c>
    </row>
    <row r="619" spans="2:10" x14ac:dyDescent="0.25">
      <c r="B619" s="11"/>
      <c r="C619" s="11"/>
      <c r="D619" s="11"/>
      <c r="E619" s="11"/>
      <c r="F619" s="11"/>
      <c r="G619" s="11"/>
      <c r="H619" s="3">
        <f>IF(OR(F619="",F619=0),"לא","כן")</f>
      </c>
      <c r="I619" s="3">
        <f>IF(ISNUMBER(SEARCH(",",D619)),"כן","לא")</f>
      </c>
      <c r="J619" s="3">
        <f>IF(OR(ISNUMBER(SEARCH(",",D619)),ISNUMBER(SEARCH("קבוצות",G619))),"כן","לא")</f>
      </c>
    </row>
    <row r="620" spans="2:10" x14ac:dyDescent="0.25">
      <c r="B620" s="11"/>
      <c r="C620" s="11"/>
      <c r="D620" s="11"/>
      <c r="E620" s="11"/>
      <c r="F620" s="11"/>
      <c r="G620" s="11"/>
      <c r="H620" s="3">
        <f>IF(OR(F620="",F620=0),"לא","כן")</f>
      </c>
      <c r="I620" s="3">
        <f>IF(ISNUMBER(SEARCH(",",D620)),"כן","לא")</f>
      </c>
      <c r="J620" s="3">
        <f>IF(OR(ISNUMBER(SEARCH(",",D620)),ISNUMBER(SEARCH("קבוצות",G620))),"כן","לא")</f>
      </c>
    </row>
    <row r="621" spans="2:10" x14ac:dyDescent="0.25">
      <c r="B621" s="11"/>
      <c r="C621" s="11"/>
      <c r="D621" s="11"/>
      <c r="E621" s="11"/>
      <c r="F621" s="11"/>
      <c r="G621" s="11"/>
      <c r="H621" s="3">
        <f>IF(OR(F621="",F621=0),"לא","כן")</f>
      </c>
      <c r="I621" s="3">
        <f>IF(ISNUMBER(SEARCH(",",D621)),"כן","לא")</f>
      </c>
      <c r="J621" s="3">
        <f>IF(OR(ISNUMBER(SEARCH(",",D621)),ISNUMBER(SEARCH("קבוצות",G621))),"כן","לא")</f>
      </c>
    </row>
    <row r="622" spans="2:10" x14ac:dyDescent="0.25">
      <c r="B622" s="11"/>
      <c r="C622" s="11"/>
      <c r="D622" s="11"/>
      <c r="E622" s="11"/>
      <c r="F622" s="11"/>
      <c r="G622" s="11"/>
      <c r="H622" s="3">
        <f>IF(OR(F622="",F622=0),"לא","כן")</f>
      </c>
      <c r="I622" s="3">
        <f>IF(ISNUMBER(SEARCH(",",D622)),"כן","לא")</f>
      </c>
      <c r="J622" s="3">
        <f>IF(OR(ISNUMBER(SEARCH(",",D622)),ISNUMBER(SEARCH("קבוצות",G622))),"כן","לא")</f>
      </c>
    </row>
    <row r="623" spans="2:10" x14ac:dyDescent="0.25">
      <c r="B623" s="11"/>
      <c r="C623" s="11"/>
      <c r="D623" s="11"/>
      <c r="E623" s="11"/>
      <c r="F623" s="11"/>
      <c r="G623" s="11"/>
      <c r="H623" s="3">
        <f>IF(OR(F623="",F623=0),"לא","כן")</f>
      </c>
      <c r="I623" s="3">
        <f>IF(ISNUMBER(SEARCH(",",D623)),"כן","לא")</f>
      </c>
      <c r="J623" s="3">
        <f>IF(OR(ISNUMBER(SEARCH(",",D623)),ISNUMBER(SEARCH("קבוצות",G623))),"כן","לא")</f>
      </c>
    </row>
    <row r="624" spans="2:10" x14ac:dyDescent="0.25">
      <c r="B624" s="11"/>
      <c r="C624" s="11"/>
      <c r="D624" s="11"/>
      <c r="E624" s="11"/>
      <c r="F624" s="11"/>
      <c r="G624" s="11"/>
      <c r="H624" s="3">
        <f>IF(OR(F624="",F624=0),"לא","כן")</f>
      </c>
      <c r="I624" s="3">
        <f>IF(ISNUMBER(SEARCH(",",D624)),"כן","לא")</f>
      </c>
      <c r="J624" s="3">
        <f>IF(OR(ISNUMBER(SEARCH(",",D624)),ISNUMBER(SEARCH("קבוצות",G624))),"כן","לא")</f>
      </c>
    </row>
    <row r="625" spans="2:10" x14ac:dyDescent="0.25">
      <c r="B625" s="11"/>
      <c r="C625" s="11"/>
      <c r="D625" s="11"/>
      <c r="E625" s="11"/>
      <c r="F625" s="11"/>
      <c r="G625" s="11"/>
      <c r="H625" s="3">
        <f>IF(OR(F625="",F625=0),"לא","כן")</f>
      </c>
      <c r="I625" s="3">
        <f>IF(ISNUMBER(SEARCH(",",D625)),"כן","לא")</f>
      </c>
      <c r="J625" s="3">
        <f>IF(OR(ISNUMBER(SEARCH(",",D625)),ISNUMBER(SEARCH("קבוצות",G625))),"כן","לא")</f>
      </c>
    </row>
    <row r="626" spans="2:10" x14ac:dyDescent="0.25">
      <c r="B626" s="11"/>
      <c r="C626" s="11"/>
      <c r="D626" s="11"/>
      <c r="E626" s="11"/>
      <c r="F626" s="11"/>
      <c r="G626" s="11"/>
      <c r="H626" s="3">
        <f>IF(OR(F626="",F626=0),"לא","כן")</f>
      </c>
      <c r="I626" s="3">
        <f>IF(ISNUMBER(SEARCH(",",D626)),"כן","לא")</f>
      </c>
      <c r="J626" s="3">
        <f>IF(OR(ISNUMBER(SEARCH(",",D626)),ISNUMBER(SEARCH("קבוצות",G626))),"כן","לא")</f>
      </c>
    </row>
    <row r="627" spans="2:10" x14ac:dyDescent="0.25">
      <c r="B627" s="11"/>
      <c r="C627" s="11"/>
      <c r="D627" s="11"/>
      <c r="E627" s="11"/>
      <c r="F627" s="11"/>
      <c r="G627" s="11"/>
      <c r="H627" s="3">
        <f>IF(OR(F627="",F627=0),"לא","כן")</f>
      </c>
      <c r="I627" s="3">
        <f>IF(ISNUMBER(SEARCH(",",D627)),"כן","לא")</f>
      </c>
      <c r="J627" s="3">
        <f>IF(OR(ISNUMBER(SEARCH(",",D627)),ISNUMBER(SEARCH("קבוצות",G627))),"כן","לא")</f>
      </c>
    </row>
    <row r="628" spans="2:10" x14ac:dyDescent="0.25">
      <c r="B628" s="11"/>
      <c r="C628" s="11"/>
      <c r="D628" s="11"/>
      <c r="E628" s="11"/>
      <c r="F628" s="11"/>
      <c r="G628" s="11"/>
      <c r="H628" s="3">
        <f>IF(OR(F628="",F628=0),"לא","כן")</f>
      </c>
      <c r="I628" s="3">
        <f>IF(ISNUMBER(SEARCH(",",D628)),"כן","לא")</f>
      </c>
      <c r="J628" s="3">
        <f>IF(OR(ISNUMBER(SEARCH(",",D628)),ISNUMBER(SEARCH("קבוצות",G628))),"כן","לא")</f>
      </c>
    </row>
    <row r="629" spans="2:10" x14ac:dyDescent="0.25">
      <c r="B629" s="11"/>
      <c r="C629" s="11"/>
      <c r="D629" s="11"/>
      <c r="E629" s="11"/>
      <c r="F629" s="11"/>
      <c r="G629" s="11"/>
      <c r="H629" s="3">
        <f>IF(OR(F629="",F629=0),"לא","כן")</f>
      </c>
      <c r="I629" s="3">
        <f>IF(ISNUMBER(SEARCH(",",D629)),"כן","לא")</f>
      </c>
      <c r="J629" s="3">
        <f>IF(OR(ISNUMBER(SEARCH(",",D629)),ISNUMBER(SEARCH("קבוצות",G629))),"כן","לא")</f>
      </c>
    </row>
    <row r="630" spans="2:10" x14ac:dyDescent="0.25">
      <c r="B630" s="11"/>
      <c r="C630" s="11"/>
      <c r="D630" s="11"/>
      <c r="E630" s="11"/>
      <c r="F630" s="11"/>
      <c r="G630" s="11"/>
      <c r="H630" s="3">
        <f>IF(OR(F630="",F630=0),"לא","כן")</f>
      </c>
      <c r="I630" s="3">
        <f>IF(ISNUMBER(SEARCH(",",D630)),"כן","לא")</f>
      </c>
      <c r="J630" s="3">
        <f>IF(OR(ISNUMBER(SEARCH(",",D630)),ISNUMBER(SEARCH("קבוצות",G630))),"כן","לא")</f>
      </c>
    </row>
    <row r="631" spans="2:10" x14ac:dyDescent="0.25">
      <c r="B631" s="11"/>
      <c r="C631" s="11"/>
      <c r="D631" s="11"/>
      <c r="E631" s="11"/>
      <c r="F631" s="11"/>
      <c r="G631" s="11"/>
      <c r="H631" s="3">
        <f>IF(OR(F631="",F631=0),"לא","כן")</f>
      </c>
      <c r="I631" s="3">
        <f>IF(ISNUMBER(SEARCH(",",D631)),"כן","לא")</f>
      </c>
      <c r="J631" s="3">
        <f>IF(OR(ISNUMBER(SEARCH(",",D631)),ISNUMBER(SEARCH("קבוצות",G631))),"כן","לא")</f>
      </c>
    </row>
    <row r="632" spans="2:10" x14ac:dyDescent="0.25">
      <c r="B632" s="11"/>
      <c r="C632" s="11"/>
      <c r="D632" s="11"/>
      <c r="E632" s="11"/>
      <c r="F632" s="11"/>
      <c r="G632" s="11"/>
      <c r="H632" s="3">
        <f>IF(OR(F632="",F632=0),"לא","כן")</f>
      </c>
      <c r="I632" s="3">
        <f>IF(ISNUMBER(SEARCH(",",D632)),"כן","לא")</f>
      </c>
      <c r="J632" s="3">
        <f>IF(OR(ISNUMBER(SEARCH(",",D632)),ISNUMBER(SEARCH("קבוצות",G632))),"כן","לא")</f>
      </c>
    </row>
    <row r="633" spans="2:10" x14ac:dyDescent="0.25">
      <c r="B633" s="11"/>
      <c r="C633" s="11"/>
      <c r="D633" s="11"/>
      <c r="E633" s="11"/>
      <c r="F633" s="11"/>
      <c r="G633" s="11"/>
      <c r="H633" s="3">
        <f>IF(OR(F633="",F633=0),"לא","כן")</f>
      </c>
      <c r="I633" s="3">
        <f>IF(ISNUMBER(SEARCH(",",D633)),"כן","לא")</f>
      </c>
      <c r="J633" s="3">
        <f>IF(OR(ISNUMBER(SEARCH(",",D633)),ISNUMBER(SEARCH("קבוצות",G633))),"כן","לא")</f>
      </c>
    </row>
    <row r="634" spans="2:10" x14ac:dyDescent="0.25">
      <c r="B634" s="11"/>
      <c r="C634" s="11"/>
      <c r="D634" s="11"/>
      <c r="E634" s="11"/>
      <c r="F634" s="11"/>
      <c r="G634" s="11"/>
      <c r="H634" s="3">
        <f>IF(OR(F634="",F634=0),"לא","כן")</f>
      </c>
      <c r="I634" s="3">
        <f>IF(ISNUMBER(SEARCH(",",D634)),"כן","לא")</f>
      </c>
      <c r="J634" s="3">
        <f>IF(OR(ISNUMBER(SEARCH(",",D634)),ISNUMBER(SEARCH("קבוצות",G634))),"כן","לא")</f>
      </c>
    </row>
    <row r="635" spans="2:10" x14ac:dyDescent="0.25">
      <c r="B635" s="11"/>
      <c r="C635" s="11"/>
      <c r="D635" s="11"/>
      <c r="E635" s="11"/>
      <c r="F635" s="11"/>
      <c r="G635" s="11"/>
      <c r="H635" s="3">
        <f>IF(OR(F635="",F635=0),"לא","כן")</f>
      </c>
      <c r="I635" s="3">
        <f>IF(ISNUMBER(SEARCH(",",D635)),"כן","לא")</f>
      </c>
      <c r="J635" s="3">
        <f>IF(OR(ISNUMBER(SEARCH(",",D635)),ISNUMBER(SEARCH("קבוצות",G635))),"כן","לא")</f>
      </c>
    </row>
    <row r="636" spans="2:10" x14ac:dyDescent="0.25">
      <c r="B636" s="11"/>
      <c r="C636" s="11"/>
      <c r="D636" s="11"/>
      <c r="E636" s="11"/>
      <c r="F636" s="11"/>
      <c r="G636" s="11"/>
      <c r="H636" s="3">
        <f>IF(OR(F636="",F636=0),"לא","כן")</f>
      </c>
      <c r="I636" s="3">
        <f>IF(ISNUMBER(SEARCH(",",D636)),"כן","לא")</f>
      </c>
      <c r="J636" s="3">
        <f>IF(OR(ISNUMBER(SEARCH(",",D636)),ISNUMBER(SEARCH("קבוצות",G636))),"כן","לא")</f>
      </c>
    </row>
    <row r="637" spans="2:10" x14ac:dyDescent="0.25">
      <c r="B637" s="11"/>
      <c r="C637" s="11"/>
      <c r="D637" s="11"/>
      <c r="E637" s="11"/>
      <c r="F637" s="11"/>
      <c r="G637" s="11"/>
      <c r="H637" s="3">
        <f>IF(OR(F637="",F637=0),"לא","כן")</f>
      </c>
      <c r="I637" s="3">
        <f>IF(ISNUMBER(SEARCH(",",D637)),"כן","לא")</f>
      </c>
      <c r="J637" s="3">
        <f>IF(OR(ISNUMBER(SEARCH(",",D637)),ISNUMBER(SEARCH("קבוצות",G637))),"כן","לא")</f>
      </c>
    </row>
    <row r="638" spans="2:10" x14ac:dyDescent="0.25">
      <c r="B638" s="11"/>
      <c r="C638" s="11"/>
      <c r="D638" s="11"/>
      <c r="E638" s="11"/>
      <c r="F638" s="11"/>
      <c r="G638" s="11"/>
      <c r="H638" s="3">
        <f>IF(OR(F638="",F638=0),"לא","כן")</f>
      </c>
      <c r="I638" s="3">
        <f>IF(ISNUMBER(SEARCH(",",D638)),"כן","לא")</f>
      </c>
      <c r="J638" s="3">
        <f>IF(OR(ISNUMBER(SEARCH(",",D638)),ISNUMBER(SEARCH("קבוצות",G638))),"כן","לא")</f>
      </c>
    </row>
    <row r="639" spans="2:10" x14ac:dyDescent="0.25">
      <c r="B639" s="11"/>
      <c r="C639" s="11"/>
      <c r="D639" s="11"/>
      <c r="E639" s="11"/>
      <c r="F639" s="11"/>
      <c r="G639" s="11"/>
      <c r="H639" s="3">
        <f>IF(OR(F639="",F639=0),"לא","כן")</f>
      </c>
      <c r="I639" s="3">
        <f>IF(ISNUMBER(SEARCH(",",D639)),"כן","לא")</f>
      </c>
      <c r="J639" s="3">
        <f>IF(OR(ISNUMBER(SEARCH(",",D639)),ISNUMBER(SEARCH("קבוצות",G639))),"כן","לא")</f>
      </c>
    </row>
    <row r="640" spans="2:10" x14ac:dyDescent="0.25">
      <c r="B640" s="11"/>
      <c r="C640" s="11"/>
      <c r="D640" s="11"/>
      <c r="E640" s="11"/>
      <c r="F640" s="11"/>
      <c r="G640" s="11"/>
      <c r="H640" s="3">
        <f>IF(OR(F640="",F640=0),"לא","כן")</f>
      </c>
      <c r="I640" s="3">
        <f>IF(ISNUMBER(SEARCH(",",D640)),"כן","לא")</f>
      </c>
      <c r="J640" s="3">
        <f>IF(OR(ISNUMBER(SEARCH(",",D640)),ISNUMBER(SEARCH("קבוצות",G640))),"כן","לא")</f>
      </c>
    </row>
    <row r="641" spans="2:10" x14ac:dyDescent="0.25">
      <c r="B641" s="11"/>
      <c r="C641" s="11"/>
      <c r="D641" s="11"/>
      <c r="E641" s="11"/>
      <c r="F641" s="11"/>
      <c r="G641" s="11"/>
      <c r="H641" s="3">
        <f>IF(OR(F641="",F641=0),"לא","כן")</f>
      </c>
      <c r="I641" s="3">
        <f>IF(ISNUMBER(SEARCH(",",D641)),"כן","לא")</f>
      </c>
      <c r="J641" s="3">
        <f>IF(OR(ISNUMBER(SEARCH(",",D641)),ISNUMBER(SEARCH("קבוצות",G641))),"כן","לא")</f>
      </c>
    </row>
    <row r="642" spans="2:10" x14ac:dyDescent="0.25">
      <c r="B642" s="11"/>
      <c r="C642" s="11"/>
      <c r="D642" s="11"/>
      <c r="E642" s="11"/>
      <c r="F642" s="11"/>
      <c r="G642" s="11"/>
      <c r="H642" s="3">
        <f>IF(OR(F642="",F642=0),"לא","כן")</f>
      </c>
      <c r="I642" s="3">
        <f>IF(ISNUMBER(SEARCH(",",D642)),"כן","לא")</f>
      </c>
      <c r="J642" s="3">
        <f>IF(OR(ISNUMBER(SEARCH(",",D642)),ISNUMBER(SEARCH("קבוצות",G642))),"כן","לא")</f>
      </c>
    </row>
    <row r="643" spans="2:10" x14ac:dyDescent="0.25">
      <c r="B643" s="11"/>
      <c r="C643" s="11"/>
      <c r="D643" s="11"/>
      <c r="E643" s="11"/>
      <c r="F643" s="11"/>
      <c r="G643" s="11"/>
      <c r="H643" s="3">
        <f>IF(OR(F643="",F643=0),"לא","כן")</f>
      </c>
      <c r="I643" s="3">
        <f>IF(ISNUMBER(SEARCH(",",D643)),"כן","לא")</f>
      </c>
      <c r="J643" s="3">
        <f>IF(OR(ISNUMBER(SEARCH(",",D643)),ISNUMBER(SEARCH("קבוצות",G643))),"כן","לא")</f>
      </c>
    </row>
    <row r="644" spans="2:10" x14ac:dyDescent="0.25">
      <c r="B644" s="11"/>
      <c r="C644" s="11"/>
      <c r="D644" s="11"/>
      <c r="E644" s="11"/>
      <c r="F644" s="11"/>
      <c r="G644" s="11"/>
      <c r="H644" s="3">
        <f>IF(OR(F644="",F644=0),"לא","כן")</f>
      </c>
      <c r="I644" s="3">
        <f>IF(ISNUMBER(SEARCH(",",D644)),"כן","לא")</f>
      </c>
      <c r="J644" s="3">
        <f>IF(OR(ISNUMBER(SEARCH(",",D644)),ISNUMBER(SEARCH("קבוצות",G644))),"כן","לא")</f>
      </c>
    </row>
    <row r="645" spans="2:10" x14ac:dyDescent="0.25">
      <c r="B645" s="11"/>
      <c r="C645" s="11"/>
      <c r="D645" s="11"/>
      <c r="E645" s="11"/>
      <c r="F645" s="11"/>
      <c r="G645" s="11"/>
      <c r="H645" s="3">
        <f>IF(OR(F645="",F645=0),"לא","כן")</f>
      </c>
      <c r="I645" s="3">
        <f>IF(ISNUMBER(SEARCH(",",D645)),"כן","לא")</f>
      </c>
      <c r="J645" s="3">
        <f>IF(OR(ISNUMBER(SEARCH(",",D645)),ISNUMBER(SEARCH("קבוצות",G645))),"כן","לא")</f>
      </c>
    </row>
    <row r="646" spans="2:10" x14ac:dyDescent="0.25">
      <c r="B646" s="11"/>
      <c r="C646" s="11"/>
      <c r="D646" s="11"/>
      <c r="E646" s="11"/>
      <c r="F646" s="11"/>
      <c r="G646" s="11"/>
      <c r="H646" s="3">
        <f>IF(OR(F646="",F646=0),"לא","כן")</f>
      </c>
      <c r="I646" s="3">
        <f>IF(ISNUMBER(SEARCH(",",D646)),"כן","לא")</f>
      </c>
      <c r="J646" s="3">
        <f>IF(OR(ISNUMBER(SEARCH(",",D646)),ISNUMBER(SEARCH("קבוצות",G646))),"כן","לא")</f>
      </c>
    </row>
    <row r="647" spans="2:10" x14ac:dyDescent="0.25">
      <c r="B647" s="11"/>
      <c r="C647" s="11"/>
      <c r="D647" s="11"/>
      <c r="E647" s="11"/>
      <c r="F647" s="11"/>
      <c r="G647" s="11"/>
      <c r="H647" s="3">
        <f>IF(OR(F647="",F647=0),"לא","כן")</f>
      </c>
      <c r="I647" s="3">
        <f>IF(ISNUMBER(SEARCH(",",D647)),"כן","לא")</f>
      </c>
      <c r="J647" s="3">
        <f>IF(OR(ISNUMBER(SEARCH(",",D647)),ISNUMBER(SEARCH("קבוצות",G647))),"כן","לא")</f>
      </c>
    </row>
    <row r="648" spans="2:10" x14ac:dyDescent="0.25">
      <c r="B648" s="11"/>
      <c r="C648" s="11"/>
      <c r="D648" s="11"/>
      <c r="E648" s="11"/>
      <c r="F648" s="11"/>
      <c r="G648" s="11"/>
      <c r="H648" s="3">
        <f>IF(OR(F648="",F648=0),"לא","כן")</f>
      </c>
      <c r="I648" s="3">
        <f>IF(ISNUMBER(SEARCH(",",D648)),"כן","לא")</f>
      </c>
      <c r="J648" s="3">
        <f>IF(OR(ISNUMBER(SEARCH(",",D648)),ISNUMBER(SEARCH("קבוצות",G648))),"כן","לא")</f>
      </c>
    </row>
    <row r="649" spans="2:10" x14ac:dyDescent="0.25">
      <c r="B649" s="11"/>
      <c r="C649" s="11"/>
      <c r="D649" s="11"/>
      <c r="E649" s="11"/>
      <c r="F649" s="11"/>
      <c r="G649" s="11"/>
      <c r="H649" s="3">
        <f>IF(OR(F649="",F649=0),"לא","כן")</f>
      </c>
      <c r="I649" s="3">
        <f>IF(ISNUMBER(SEARCH(",",D649)),"כן","לא")</f>
      </c>
      <c r="J649" s="3">
        <f>IF(OR(ISNUMBER(SEARCH(",",D649)),ISNUMBER(SEARCH("קבוצות",G649))),"כן","לא")</f>
      </c>
    </row>
    <row r="650" spans="2:10" x14ac:dyDescent="0.25">
      <c r="B650" s="11"/>
      <c r="C650" s="11"/>
      <c r="D650" s="11"/>
      <c r="E650" s="11"/>
      <c r="F650" s="11"/>
      <c r="G650" s="11"/>
      <c r="H650" s="3">
        <f>IF(OR(F650="",F650=0),"לא","כן")</f>
      </c>
      <c r="I650" s="3">
        <f>IF(ISNUMBER(SEARCH(",",D650)),"כן","לא")</f>
      </c>
      <c r="J650" s="3">
        <f>IF(OR(ISNUMBER(SEARCH(",",D650)),ISNUMBER(SEARCH("קבוצות",G650))),"כן","לא")</f>
      </c>
    </row>
    <row r="651" spans="2:10" x14ac:dyDescent="0.25">
      <c r="B651" s="11"/>
      <c r="C651" s="11"/>
      <c r="D651" s="11"/>
      <c r="E651" s="11"/>
      <c r="F651" s="11"/>
      <c r="G651" s="11"/>
      <c r="H651" s="3">
        <f>IF(OR(F651="",F651=0),"לא","כן")</f>
      </c>
      <c r="I651" s="3">
        <f>IF(ISNUMBER(SEARCH(",",D651)),"כן","לא")</f>
      </c>
      <c r="J651" s="3">
        <f>IF(OR(ISNUMBER(SEARCH(",",D651)),ISNUMBER(SEARCH("קבוצות",G651))),"כן","לא")</f>
      </c>
    </row>
    <row r="652" spans="2:10" x14ac:dyDescent="0.25">
      <c r="B652" s="11"/>
      <c r="C652" s="11"/>
      <c r="D652" s="11"/>
      <c r="E652" s="11"/>
      <c r="F652" s="11"/>
      <c r="G652" s="11"/>
      <c r="H652" s="3">
        <f>IF(OR(F652="",F652=0),"לא","כן")</f>
      </c>
      <c r="I652" s="3">
        <f>IF(ISNUMBER(SEARCH(",",D652)),"כן","לא")</f>
      </c>
      <c r="J652" s="3">
        <f>IF(OR(ISNUMBER(SEARCH(",",D652)),ISNUMBER(SEARCH("קבוצות",G652))),"כן","לא")</f>
      </c>
    </row>
    <row r="653" spans="2:10" x14ac:dyDescent="0.25">
      <c r="B653" s="11"/>
      <c r="C653" s="11"/>
      <c r="D653" s="11"/>
      <c r="E653" s="11"/>
      <c r="F653" s="11"/>
      <c r="G653" s="11"/>
      <c r="H653" s="3">
        <f>IF(OR(F653="",F653=0),"לא","כן")</f>
      </c>
      <c r="I653" s="3">
        <f>IF(ISNUMBER(SEARCH(",",D653)),"כן","לא")</f>
      </c>
      <c r="J653" s="3">
        <f>IF(OR(ISNUMBER(SEARCH(",",D653)),ISNUMBER(SEARCH("קבוצות",G653))),"כן","לא")</f>
      </c>
    </row>
    <row r="654" spans="2:10" x14ac:dyDescent="0.25">
      <c r="B654" s="11"/>
      <c r="C654" s="11"/>
      <c r="D654" s="11"/>
      <c r="E654" s="11"/>
      <c r="F654" s="11"/>
      <c r="G654" s="11"/>
      <c r="H654" s="3">
        <f>IF(OR(F654="",F654=0),"לא","כן")</f>
      </c>
      <c r="I654" s="3">
        <f>IF(ISNUMBER(SEARCH(",",D654)),"כן","לא")</f>
      </c>
      <c r="J654" s="3">
        <f>IF(OR(ISNUMBER(SEARCH(",",D654)),ISNUMBER(SEARCH("קבוצות",G654))),"כן","לא")</f>
      </c>
    </row>
    <row r="655" spans="2:10" x14ac:dyDescent="0.25">
      <c r="B655" s="11"/>
      <c r="C655" s="11"/>
      <c r="D655" s="11"/>
      <c r="E655" s="11"/>
      <c r="F655" s="11"/>
      <c r="G655" s="11"/>
      <c r="H655" s="3">
        <f>IF(OR(F655="",F655=0),"לא","כן")</f>
      </c>
      <c r="I655" s="3">
        <f>IF(ISNUMBER(SEARCH(",",D655)),"כן","לא")</f>
      </c>
      <c r="J655" s="3">
        <f>IF(OR(ISNUMBER(SEARCH(",",D655)),ISNUMBER(SEARCH("קבוצות",G655))),"כן","לא")</f>
      </c>
    </row>
    <row r="656" spans="2:10" x14ac:dyDescent="0.25">
      <c r="B656" s="11"/>
      <c r="C656" s="11"/>
      <c r="D656" s="11"/>
      <c r="E656" s="11"/>
      <c r="F656" s="11"/>
      <c r="G656" s="11"/>
      <c r="H656" s="3">
        <f>IF(OR(F656="",F656=0),"לא","כן")</f>
      </c>
      <c r="I656" s="3">
        <f>IF(ISNUMBER(SEARCH(",",D656)),"כן","לא")</f>
      </c>
      <c r="J656" s="3">
        <f>IF(OR(ISNUMBER(SEARCH(",",D656)),ISNUMBER(SEARCH("קבוצות",G656))),"כן","לא")</f>
      </c>
    </row>
    <row r="657" spans="2:10" x14ac:dyDescent="0.25">
      <c r="B657" s="11"/>
      <c r="C657" s="11"/>
      <c r="D657" s="11"/>
      <c r="E657" s="11"/>
      <c r="F657" s="11"/>
      <c r="G657" s="11"/>
      <c r="H657" s="3">
        <f>IF(OR(F657="",F657=0),"לא","כן")</f>
      </c>
      <c r="I657" s="3">
        <f>IF(ISNUMBER(SEARCH(",",D657)),"כן","לא")</f>
      </c>
      <c r="J657" s="3">
        <f>IF(OR(ISNUMBER(SEARCH(",",D657)),ISNUMBER(SEARCH("קבוצות",G657))),"כן","לא")</f>
      </c>
    </row>
    <row r="658" spans="2:10" x14ac:dyDescent="0.25">
      <c r="B658" s="11"/>
      <c r="C658" s="11"/>
      <c r="D658" s="11"/>
      <c r="E658" s="11"/>
      <c r="F658" s="11"/>
      <c r="G658" s="11"/>
      <c r="H658" s="3">
        <f>IF(OR(F658="",F658=0),"לא","כן")</f>
      </c>
      <c r="I658" s="3">
        <f>IF(ISNUMBER(SEARCH(",",D658)),"כן","לא")</f>
      </c>
      <c r="J658" s="3">
        <f>IF(OR(ISNUMBER(SEARCH(",",D658)),ISNUMBER(SEARCH("קבוצות",G658))),"כן","לא")</f>
      </c>
    </row>
    <row r="659" spans="2:10" x14ac:dyDescent="0.25">
      <c r="B659" s="11"/>
      <c r="C659" s="11"/>
      <c r="D659" s="11"/>
      <c r="E659" s="11"/>
      <c r="F659" s="11"/>
      <c r="G659" s="11"/>
      <c r="H659" s="3">
        <f>IF(OR(F659="",F659=0),"לא","כן")</f>
      </c>
      <c r="I659" s="3">
        <f>IF(ISNUMBER(SEARCH(",",D659)),"כן","לא")</f>
      </c>
      <c r="J659" s="3">
        <f>IF(OR(ISNUMBER(SEARCH(",",D659)),ISNUMBER(SEARCH("קבוצות",G659))),"כן","לא")</f>
      </c>
    </row>
    <row r="660" spans="2:10" x14ac:dyDescent="0.25">
      <c r="B660" s="11"/>
      <c r="C660" s="11"/>
      <c r="D660" s="11"/>
      <c r="E660" s="11"/>
      <c r="F660" s="11"/>
      <c r="G660" s="11"/>
      <c r="H660" s="3">
        <f>IF(OR(F660="",F660=0),"לא","כן")</f>
      </c>
      <c r="I660" s="3">
        <f>IF(ISNUMBER(SEARCH(",",D660)),"כן","לא")</f>
      </c>
      <c r="J660" s="3">
        <f>IF(OR(ISNUMBER(SEARCH(",",D660)),ISNUMBER(SEARCH("קבוצות",G660))),"כן","לא")</f>
      </c>
    </row>
    <row r="661" spans="2:10" x14ac:dyDescent="0.25">
      <c r="B661" s="11"/>
      <c r="C661" s="11"/>
      <c r="D661" s="11"/>
      <c r="E661" s="11"/>
      <c r="F661" s="11"/>
      <c r="G661" s="11"/>
      <c r="H661" s="3">
        <f>IF(OR(F661="",F661=0),"לא","כן")</f>
      </c>
      <c r="I661" s="3">
        <f>IF(ISNUMBER(SEARCH(",",D661)),"כן","לא")</f>
      </c>
      <c r="J661" s="3">
        <f>IF(OR(ISNUMBER(SEARCH(",",D661)),ISNUMBER(SEARCH("קבוצות",G661))),"כן","לא")</f>
      </c>
    </row>
    <row r="662" spans="2:10" x14ac:dyDescent="0.25">
      <c r="B662" s="11"/>
      <c r="C662" s="11"/>
      <c r="D662" s="11"/>
      <c r="E662" s="11"/>
      <c r="F662" s="11"/>
      <c r="G662" s="11"/>
      <c r="H662" s="3">
        <f>IF(OR(F662="",F662=0),"לא","כן")</f>
      </c>
      <c r="I662" s="3">
        <f>IF(ISNUMBER(SEARCH(",",D662)),"כן","לא")</f>
      </c>
      <c r="J662" s="3">
        <f>IF(OR(ISNUMBER(SEARCH(",",D662)),ISNUMBER(SEARCH("קבוצות",G662))),"כן","לא")</f>
      </c>
    </row>
    <row r="663" spans="2:10" x14ac:dyDescent="0.25">
      <c r="B663" s="11"/>
      <c r="C663" s="11"/>
      <c r="D663" s="11"/>
      <c r="E663" s="11"/>
      <c r="F663" s="11"/>
      <c r="G663" s="11"/>
      <c r="H663" s="3">
        <f>IF(OR(F663="",F663=0),"לא","כן")</f>
      </c>
      <c r="I663" s="3">
        <f>IF(ISNUMBER(SEARCH(",",D663)),"כן","לא")</f>
      </c>
      <c r="J663" s="3">
        <f>IF(OR(ISNUMBER(SEARCH(",",D663)),ISNUMBER(SEARCH("קבוצות",G663))),"כן","לא")</f>
      </c>
    </row>
    <row r="664" spans="2:10" x14ac:dyDescent="0.25">
      <c r="B664" s="11"/>
      <c r="C664" s="11"/>
      <c r="D664" s="11"/>
      <c r="E664" s="11"/>
      <c r="F664" s="11"/>
      <c r="G664" s="11"/>
      <c r="H664" s="3">
        <f>IF(OR(F664="",F664=0),"לא","כן")</f>
      </c>
      <c r="I664" s="3">
        <f>IF(ISNUMBER(SEARCH(",",D664)),"כן","לא")</f>
      </c>
      <c r="J664" s="3">
        <f>IF(OR(ISNUMBER(SEARCH(",",D664)),ISNUMBER(SEARCH("קבוצות",G664))),"כן","לא")</f>
      </c>
    </row>
    <row r="665" spans="2:10" x14ac:dyDescent="0.25">
      <c r="B665" s="11"/>
      <c r="C665" s="11"/>
      <c r="D665" s="11"/>
      <c r="E665" s="11"/>
      <c r="F665" s="11"/>
      <c r="G665" s="11"/>
      <c r="H665" s="3">
        <f>IF(OR(F665="",F665=0),"לא","כן")</f>
      </c>
      <c r="I665" s="3">
        <f>IF(ISNUMBER(SEARCH(",",D665)),"כן","לא")</f>
      </c>
      <c r="J665" s="3">
        <f>IF(OR(ISNUMBER(SEARCH(",",D665)),ISNUMBER(SEARCH("קבוצות",G665))),"כן","לא")</f>
      </c>
    </row>
    <row r="666" spans="2:10" x14ac:dyDescent="0.25">
      <c r="B666" s="11"/>
      <c r="C666" s="11"/>
      <c r="D666" s="11"/>
      <c r="E666" s="11"/>
      <c r="F666" s="11"/>
      <c r="G666" s="11"/>
      <c r="H666" s="3">
        <f>IF(OR(F666="",F666=0),"לא","כן")</f>
      </c>
      <c r="I666" s="3">
        <f>IF(ISNUMBER(SEARCH(",",D666)),"כן","לא")</f>
      </c>
      <c r="J666" s="3">
        <f>IF(OR(ISNUMBER(SEARCH(",",D666)),ISNUMBER(SEARCH("קבוצות",G666))),"כן","לא")</f>
      </c>
    </row>
    <row r="667" spans="2:10" x14ac:dyDescent="0.25">
      <c r="B667" s="11"/>
      <c r="C667" s="11"/>
      <c r="D667" s="11"/>
      <c r="E667" s="11"/>
      <c r="F667" s="11"/>
      <c r="G667" s="11"/>
      <c r="H667" s="3">
        <f>IF(OR(F667="",F667=0),"לא","כן")</f>
      </c>
      <c r="I667" s="3">
        <f>IF(ISNUMBER(SEARCH(",",D667)),"כן","לא")</f>
      </c>
      <c r="J667" s="3">
        <f>IF(OR(ISNUMBER(SEARCH(",",D667)),ISNUMBER(SEARCH("קבוצות",G667))),"כן","לא")</f>
      </c>
    </row>
    <row r="668" spans="2:10" x14ac:dyDescent="0.25">
      <c r="B668" s="11"/>
      <c r="C668" s="11"/>
      <c r="D668" s="11"/>
      <c r="E668" s="11"/>
      <c r="F668" s="11"/>
      <c r="G668" s="11"/>
      <c r="H668" s="3">
        <f>IF(OR(F668="",F668=0),"לא","כן")</f>
      </c>
      <c r="I668" s="3">
        <f>IF(ISNUMBER(SEARCH(",",D668)),"כן","לא")</f>
      </c>
      <c r="J668" s="3">
        <f>IF(OR(ISNUMBER(SEARCH(",",D668)),ISNUMBER(SEARCH("קבוצות",G668))),"כן","לא")</f>
      </c>
    </row>
    <row r="669" spans="2:10" x14ac:dyDescent="0.25">
      <c r="B669" s="11"/>
      <c r="C669" s="11"/>
      <c r="D669" s="11"/>
      <c r="E669" s="11"/>
      <c r="F669" s="11"/>
      <c r="G669" s="11"/>
      <c r="H669" s="3">
        <f>IF(OR(F669="",F669=0),"לא","כן")</f>
      </c>
      <c r="I669" s="3">
        <f>IF(ISNUMBER(SEARCH(",",D669)),"כן","לא")</f>
      </c>
      <c r="J669" s="3">
        <f>IF(OR(ISNUMBER(SEARCH(",",D669)),ISNUMBER(SEARCH("קבוצות",G669))),"כן","לא")</f>
      </c>
    </row>
    <row r="670" spans="2:10" x14ac:dyDescent="0.25">
      <c r="B670" s="11"/>
      <c r="C670" s="11"/>
      <c r="D670" s="11"/>
      <c r="E670" s="11"/>
      <c r="F670" s="11"/>
      <c r="G670" s="11"/>
      <c r="H670" s="3">
        <f>IF(OR(F670="",F670=0),"לא","כן")</f>
      </c>
      <c r="I670" s="3">
        <f>IF(ISNUMBER(SEARCH(",",D670)),"כן","לא")</f>
      </c>
      <c r="J670" s="3">
        <f>IF(OR(ISNUMBER(SEARCH(",",D670)),ISNUMBER(SEARCH("קבוצות",G670))),"כן","לא")</f>
      </c>
    </row>
    <row r="671" spans="2:10" x14ac:dyDescent="0.25">
      <c r="B671" s="11"/>
      <c r="C671" s="11"/>
      <c r="D671" s="11"/>
      <c r="E671" s="11"/>
      <c r="F671" s="11"/>
      <c r="G671" s="11"/>
      <c r="H671" s="3">
        <f>IF(OR(F671="",F671=0),"לא","כן")</f>
      </c>
      <c r="I671" s="3">
        <f>IF(ISNUMBER(SEARCH(",",D671)),"כן","לא")</f>
      </c>
      <c r="J671" s="3">
        <f>IF(OR(ISNUMBER(SEARCH(",",D671)),ISNUMBER(SEARCH("קבוצות",G671))),"כן","לא")</f>
      </c>
    </row>
    <row r="672" spans="2:10" x14ac:dyDescent="0.25">
      <c r="B672" s="11"/>
      <c r="C672" s="11"/>
      <c r="D672" s="11"/>
      <c r="E672" s="11"/>
      <c r="F672" s="11"/>
      <c r="G672" s="11"/>
      <c r="H672" s="3">
        <f>IF(OR(F672="",F672=0),"לא","כן")</f>
      </c>
      <c r="I672" s="3">
        <f>IF(ISNUMBER(SEARCH(",",D672)),"כן","לא")</f>
      </c>
      <c r="J672" s="3">
        <f>IF(OR(ISNUMBER(SEARCH(",",D672)),ISNUMBER(SEARCH("קבוצות",G672))),"כן","לא")</f>
      </c>
    </row>
    <row r="673" spans="2:10" x14ac:dyDescent="0.25">
      <c r="B673" s="11"/>
      <c r="C673" s="11"/>
      <c r="D673" s="11"/>
      <c r="E673" s="11"/>
      <c r="F673" s="11"/>
      <c r="G673" s="11"/>
      <c r="H673" s="3">
        <f>IF(OR(F673="",F673=0),"לא","כן")</f>
      </c>
      <c r="I673" s="3">
        <f>IF(ISNUMBER(SEARCH(",",D673)),"כן","לא")</f>
      </c>
      <c r="J673" s="3">
        <f>IF(OR(ISNUMBER(SEARCH(",",D673)),ISNUMBER(SEARCH("קבוצות",G673))),"כן","לא")</f>
      </c>
    </row>
    <row r="674" spans="2:10" x14ac:dyDescent="0.25">
      <c r="B674" s="11"/>
      <c r="C674" s="11"/>
      <c r="D674" s="11"/>
      <c r="E674" s="11"/>
      <c r="F674" s="11"/>
      <c r="G674" s="11"/>
      <c r="H674" s="3">
        <f>IF(OR(F674="",F674=0),"לא","כן")</f>
      </c>
      <c r="I674" s="3">
        <f>IF(ISNUMBER(SEARCH(",",D674)),"כן","לא")</f>
      </c>
      <c r="J674" s="3">
        <f>IF(OR(ISNUMBER(SEARCH(",",D674)),ISNUMBER(SEARCH("קבוצות",G674))),"כן","לא")</f>
      </c>
    </row>
    <row r="675" spans="2:10" x14ac:dyDescent="0.25">
      <c r="B675" s="11"/>
      <c r="C675" s="11"/>
      <c r="D675" s="11"/>
      <c r="E675" s="11"/>
      <c r="F675" s="11"/>
      <c r="G675" s="11"/>
      <c r="H675" s="3">
        <f>IF(OR(F675="",F675=0),"לא","כן")</f>
      </c>
      <c r="I675" s="3">
        <f>IF(ISNUMBER(SEARCH(",",D675)),"כן","לא")</f>
      </c>
      <c r="J675" s="3">
        <f>IF(OR(ISNUMBER(SEARCH(",",D675)),ISNUMBER(SEARCH("קבוצות",G675))),"כן","לא")</f>
      </c>
    </row>
    <row r="676" spans="2:10" x14ac:dyDescent="0.25">
      <c r="B676" s="11"/>
      <c r="C676" s="11"/>
      <c r="D676" s="11"/>
      <c r="E676" s="11"/>
      <c r="F676" s="11"/>
      <c r="G676" s="11"/>
      <c r="H676" s="3">
        <f>IF(OR(F676="",F676=0),"לא","כן")</f>
      </c>
      <c r="I676" s="3">
        <f>IF(ISNUMBER(SEARCH(",",D676)),"כן","לא")</f>
      </c>
      <c r="J676" s="3">
        <f>IF(OR(ISNUMBER(SEARCH(",",D676)),ISNUMBER(SEARCH("קבוצות",G676))),"כן","לא")</f>
      </c>
    </row>
    <row r="677" spans="2:10" x14ac:dyDescent="0.25">
      <c r="B677" s="11"/>
      <c r="C677" s="11"/>
      <c r="D677" s="11"/>
      <c r="E677" s="11"/>
      <c r="F677" s="11"/>
      <c r="G677" s="11"/>
      <c r="H677" s="3">
        <f>IF(OR(F677="",F677=0),"לא","כן")</f>
      </c>
      <c r="I677" s="3">
        <f>IF(ISNUMBER(SEARCH(",",D677)),"כן","לא")</f>
      </c>
      <c r="J677" s="3">
        <f>IF(OR(ISNUMBER(SEARCH(",",D677)),ISNUMBER(SEARCH("קבוצות",G677))),"כן","לא")</f>
      </c>
    </row>
    <row r="678" spans="2:10" x14ac:dyDescent="0.25">
      <c r="B678" s="11"/>
      <c r="C678" s="11"/>
      <c r="D678" s="11"/>
      <c r="E678" s="11"/>
      <c r="F678" s="11"/>
      <c r="G678" s="11"/>
      <c r="H678" s="3">
        <f>IF(OR(F678="",F678=0),"לא","כן")</f>
      </c>
      <c r="I678" s="3">
        <f>IF(ISNUMBER(SEARCH(",",D678)),"כן","לא")</f>
      </c>
      <c r="J678" s="3">
        <f>IF(OR(ISNUMBER(SEARCH(",",D678)),ISNUMBER(SEARCH("קבוצות",G678))),"כן","לא")</f>
      </c>
    </row>
    <row r="679" spans="2:10" x14ac:dyDescent="0.25">
      <c r="B679" s="11"/>
      <c r="C679" s="11"/>
      <c r="D679" s="11"/>
      <c r="E679" s="11"/>
      <c r="F679" s="11"/>
      <c r="G679" s="11"/>
      <c r="H679" s="3">
        <f>IF(OR(F679="",F679=0),"לא","כן")</f>
      </c>
      <c r="I679" s="3">
        <f>IF(ISNUMBER(SEARCH(",",D679)),"כן","לא")</f>
      </c>
      <c r="J679" s="3">
        <f>IF(OR(ISNUMBER(SEARCH(",",D679)),ISNUMBER(SEARCH("קבוצות",G679))),"כן","לא")</f>
      </c>
    </row>
    <row r="680" spans="2:10" x14ac:dyDescent="0.25">
      <c r="B680" s="11"/>
      <c r="C680" s="11"/>
      <c r="D680" s="11"/>
      <c r="E680" s="11"/>
      <c r="F680" s="11"/>
      <c r="G680" s="11"/>
      <c r="H680" s="3">
        <f>IF(OR(F680="",F680=0),"לא","כן")</f>
      </c>
      <c r="I680" s="3">
        <f>IF(ISNUMBER(SEARCH(",",D680)),"כן","לא")</f>
      </c>
      <c r="J680" s="3">
        <f>IF(OR(ISNUMBER(SEARCH(",",D680)),ISNUMBER(SEARCH("קבוצות",G680))),"כן","לא")</f>
      </c>
    </row>
    <row r="681" spans="2:10" x14ac:dyDescent="0.25">
      <c r="B681" s="11"/>
      <c r="C681" s="11"/>
      <c r="D681" s="11"/>
      <c r="E681" s="11"/>
      <c r="F681" s="11"/>
      <c r="G681" s="11"/>
      <c r="H681" s="3">
        <f>IF(OR(F681="",F681=0),"לא","כן")</f>
      </c>
      <c r="I681" s="3">
        <f>IF(ISNUMBER(SEARCH(",",D681)),"כן","לא")</f>
      </c>
      <c r="J681" s="3">
        <f>IF(OR(ISNUMBER(SEARCH(",",D681)),ISNUMBER(SEARCH("קבוצות",G681))),"כן","לא")</f>
      </c>
    </row>
    <row r="682" spans="2:10" x14ac:dyDescent="0.25">
      <c r="B682" s="11"/>
      <c r="C682" s="11"/>
      <c r="D682" s="11"/>
      <c r="E682" s="11"/>
      <c r="F682" s="11"/>
      <c r="G682" s="11"/>
      <c r="H682" s="3">
        <f>IF(OR(F682="",F682=0),"לא","כן")</f>
      </c>
      <c r="I682" s="3">
        <f>IF(ISNUMBER(SEARCH(",",D682)),"כן","לא")</f>
      </c>
      <c r="J682" s="3">
        <f>IF(OR(ISNUMBER(SEARCH(",",D682)),ISNUMBER(SEARCH("קבוצות",G682))),"כן","לא")</f>
      </c>
    </row>
    <row r="683" spans="2:10" x14ac:dyDescent="0.25">
      <c r="B683" s="11"/>
      <c r="C683" s="11"/>
      <c r="D683" s="11"/>
      <c r="E683" s="11"/>
      <c r="F683" s="11"/>
      <c r="G683" s="11"/>
      <c r="H683" s="3">
        <f>IF(OR(F683="",F683=0),"לא","כן")</f>
      </c>
      <c r="I683" s="3">
        <f>IF(ISNUMBER(SEARCH(",",D683)),"כן","לא")</f>
      </c>
      <c r="J683" s="3">
        <f>IF(OR(ISNUMBER(SEARCH(",",D683)),ISNUMBER(SEARCH("קבוצות",G683))),"כן","לא")</f>
      </c>
    </row>
    <row r="684" spans="2:10" x14ac:dyDescent="0.25">
      <c r="B684" s="11"/>
      <c r="C684" s="11"/>
      <c r="D684" s="11"/>
      <c r="E684" s="11"/>
      <c r="F684" s="11"/>
      <c r="G684" s="11"/>
      <c r="H684" s="3">
        <f>IF(OR(F684="",F684=0),"לא","כן")</f>
      </c>
      <c r="I684" s="3">
        <f>IF(ISNUMBER(SEARCH(",",D684)),"כן","לא")</f>
      </c>
      <c r="J684" s="3">
        <f>IF(OR(ISNUMBER(SEARCH(",",D684)),ISNUMBER(SEARCH("קבוצות",G684))),"כן","לא")</f>
      </c>
    </row>
    <row r="685" spans="2:10" x14ac:dyDescent="0.25">
      <c r="B685" s="11"/>
      <c r="C685" s="11"/>
      <c r="D685" s="11"/>
      <c r="E685" s="11"/>
      <c r="F685" s="11"/>
      <c r="G685" s="11"/>
      <c r="H685" s="3">
        <f>IF(OR(F685="",F685=0),"לא","כן")</f>
      </c>
      <c r="I685" s="3">
        <f>IF(ISNUMBER(SEARCH(",",D685)),"כן","לא")</f>
      </c>
      <c r="J685" s="3">
        <f>IF(OR(ISNUMBER(SEARCH(",",D685)),ISNUMBER(SEARCH("קבוצות",G685))),"כן","לא")</f>
      </c>
    </row>
    <row r="686" spans="2:10" x14ac:dyDescent="0.25">
      <c r="B686" s="11"/>
      <c r="C686" s="11"/>
      <c r="D686" s="11"/>
      <c r="E686" s="11"/>
      <c r="F686" s="11"/>
      <c r="G686" s="11"/>
      <c r="H686" s="3">
        <f>IF(OR(F686="",F686=0),"לא","כן")</f>
      </c>
      <c r="I686" s="3">
        <f>IF(ISNUMBER(SEARCH(",",D686)),"כן","לא")</f>
      </c>
      <c r="J686" s="3">
        <f>IF(OR(ISNUMBER(SEARCH(",",D686)),ISNUMBER(SEARCH("קבוצות",G686))),"כן","לא")</f>
      </c>
    </row>
    <row r="687" spans="2:10" x14ac:dyDescent="0.25">
      <c r="B687" s="11"/>
      <c r="C687" s="11"/>
      <c r="D687" s="11"/>
      <c r="E687" s="11"/>
      <c r="F687" s="11"/>
      <c r="G687" s="11"/>
      <c r="H687" s="3">
        <f>IF(OR(F687="",F687=0),"לא","כן")</f>
      </c>
      <c r="I687" s="3">
        <f>IF(ISNUMBER(SEARCH(",",D687)),"כן","לא")</f>
      </c>
      <c r="J687" s="3">
        <f>IF(OR(ISNUMBER(SEARCH(",",D687)),ISNUMBER(SEARCH("קבוצות",G687))),"כן","לא")</f>
      </c>
    </row>
    <row r="688" spans="2:10" x14ac:dyDescent="0.25">
      <c r="B688" s="11"/>
      <c r="C688" s="11"/>
      <c r="D688" s="11"/>
      <c r="E688" s="11"/>
      <c r="F688" s="11"/>
      <c r="G688" s="11"/>
      <c r="H688" s="3">
        <f>IF(OR(F688="",F688=0),"לא","כן")</f>
      </c>
      <c r="I688" s="3">
        <f>IF(ISNUMBER(SEARCH(",",D688)),"כן","לא")</f>
      </c>
      <c r="J688" s="3">
        <f>IF(OR(ISNUMBER(SEARCH(",",D688)),ISNUMBER(SEARCH("קבוצות",G688))),"כן","לא")</f>
      </c>
    </row>
    <row r="689" spans="2:10" x14ac:dyDescent="0.25">
      <c r="B689" s="11"/>
      <c r="C689" s="11"/>
      <c r="D689" s="11"/>
      <c r="E689" s="11"/>
      <c r="F689" s="11"/>
      <c r="G689" s="11"/>
      <c r="H689" s="3">
        <f>IF(OR(F689="",F689=0),"לא","כן")</f>
      </c>
      <c r="I689" s="3">
        <f>IF(ISNUMBER(SEARCH(",",D689)),"כן","לא")</f>
      </c>
      <c r="J689" s="3">
        <f>IF(OR(ISNUMBER(SEARCH(",",D689)),ISNUMBER(SEARCH("קבוצות",G689))),"כן","לא")</f>
      </c>
    </row>
    <row r="690" spans="2:10" x14ac:dyDescent="0.25">
      <c r="B690" s="11"/>
      <c r="C690" s="11"/>
      <c r="D690" s="11"/>
      <c r="E690" s="11"/>
      <c r="F690" s="11"/>
      <c r="G690" s="11"/>
      <c r="H690" s="3">
        <f>IF(OR(F690="",F690=0),"לא","כן")</f>
      </c>
      <c r="I690" s="3">
        <f>IF(ISNUMBER(SEARCH(",",D690)),"כן","לא")</f>
      </c>
      <c r="J690" s="3">
        <f>IF(OR(ISNUMBER(SEARCH(",",D690)),ISNUMBER(SEARCH("קבוצות",G690))),"כן","לא")</f>
      </c>
    </row>
    <row r="691" spans="2:10" x14ac:dyDescent="0.25">
      <c r="B691" s="11"/>
      <c r="C691" s="11"/>
      <c r="D691" s="11"/>
      <c r="E691" s="11"/>
      <c r="F691" s="11"/>
      <c r="G691" s="11"/>
      <c r="H691" s="3">
        <f>IF(OR(F691="",F691=0),"לא","כן")</f>
      </c>
      <c r="I691" s="3">
        <f>IF(ISNUMBER(SEARCH(",",D691)),"כן","לא")</f>
      </c>
      <c r="J691" s="3">
        <f>IF(OR(ISNUMBER(SEARCH(",",D691)),ISNUMBER(SEARCH("קבוצות",G691))),"כן","לא")</f>
      </c>
    </row>
    <row r="692" spans="2:10" x14ac:dyDescent="0.25">
      <c r="B692" s="11"/>
      <c r="C692" s="11"/>
      <c r="D692" s="11"/>
      <c r="E692" s="11"/>
      <c r="F692" s="11"/>
      <c r="G692" s="11"/>
      <c r="H692" s="3">
        <f>IF(OR(F692="",F692=0),"לא","כן")</f>
      </c>
      <c r="I692" s="3">
        <f>IF(ISNUMBER(SEARCH(",",D692)),"כן","לא")</f>
      </c>
      <c r="J692" s="3">
        <f>IF(OR(ISNUMBER(SEARCH(",",D692)),ISNUMBER(SEARCH("קבוצות",G692))),"כן","לא")</f>
      </c>
    </row>
    <row r="693" spans="2:10" x14ac:dyDescent="0.25">
      <c r="B693" s="11"/>
      <c r="C693" s="11"/>
      <c r="D693" s="11"/>
      <c r="E693" s="11"/>
      <c r="F693" s="11"/>
      <c r="G693" s="11"/>
      <c r="H693" s="3">
        <f>IF(OR(F693="",F693=0),"לא","כן")</f>
      </c>
      <c r="I693" s="3">
        <f>IF(ISNUMBER(SEARCH(",",D693)),"כן","לא")</f>
      </c>
      <c r="J693" s="3">
        <f>IF(OR(ISNUMBER(SEARCH(",",D693)),ISNUMBER(SEARCH("קבוצות",G693))),"כן","לא")</f>
      </c>
    </row>
    <row r="694" spans="2:10" x14ac:dyDescent="0.25">
      <c r="B694" s="11"/>
      <c r="C694" s="11"/>
      <c r="D694" s="11"/>
      <c r="E694" s="11"/>
      <c r="F694" s="11"/>
      <c r="G694" s="11"/>
      <c r="H694" s="3">
        <f>IF(OR(F694="",F694=0),"לא","כן")</f>
      </c>
      <c r="I694" s="3">
        <f>IF(ISNUMBER(SEARCH(",",D694)),"כן","לא")</f>
      </c>
      <c r="J694" s="3">
        <f>IF(OR(ISNUMBER(SEARCH(",",D694)),ISNUMBER(SEARCH("קבוצות",G694))),"כן","לא")</f>
      </c>
    </row>
    <row r="695" spans="2:10" x14ac:dyDescent="0.25">
      <c r="B695" s="11"/>
      <c r="C695" s="11"/>
      <c r="D695" s="11"/>
      <c r="E695" s="11"/>
      <c r="F695" s="11"/>
      <c r="G695" s="11"/>
      <c r="H695" s="3">
        <f>IF(OR(F695="",F695=0),"לא","כן")</f>
      </c>
      <c r="I695" s="3">
        <f>IF(ISNUMBER(SEARCH(",",D695)),"כן","לא")</f>
      </c>
      <c r="J695" s="3">
        <f>IF(OR(ISNUMBER(SEARCH(",",D695)),ISNUMBER(SEARCH("קבוצות",G695))),"כן","לא")</f>
      </c>
    </row>
    <row r="696" spans="2:10" x14ac:dyDescent="0.25">
      <c r="B696" s="11"/>
      <c r="C696" s="11"/>
      <c r="D696" s="11"/>
      <c r="E696" s="11"/>
      <c r="F696" s="11"/>
      <c r="G696" s="11"/>
      <c r="H696" s="3">
        <f>IF(OR(F696="",F696=0),"לא","כן")</f>
      </c>
      <c r="I696" s="3">
        <f>IF(ISNUMBER(SEARCH(",",D696)),"כן","לא")</f>
      </c>
      <c r="J696" s="3">
        <f>IF(OR(ISNUMBER(SEARCH(",",D696)),ISNUMBER(SEARCH("קבוצות",G696))),"כן","לא")</f>
      </c>
    </row>
    <row r="697" spans="2:10" x14ac:dyDescent="0.25">
      <c r="B697" s="11"/>
      <c r="C697" s="11"/>
      <c r="D697" s="11"/>
      <c r="E697" s="11"/>
      <c r="F697" s="11"/>
      <c r="G697" s="11"/>
      <c r="H697" s="3">
        <f>IF(OR(F697="",F697=0),"לא","כן")</f>
      </c>
      <c r="I697" s="3">
        <f>IF(ISNUMBER(SEARCH(",",D697)),"כן","לא")</f>
      </c>
      <c r="J697" s="3">
        <f>IF(OR(ISNUMBER(SEARCH(",",D697)),ISNUMBER(SEARCH("קבוצות",G697))),"כן","לא")</f>
      </c>
    </row>
    <row r="698" spans="2:10" x14ac:dyDescent="0.25">
      <c r="B698" s="11"/>
      <c r="C698" s="11"/>
      <c r="D698" s="11"/>
      <c r="E698" s="11"/>
      <c r="F698" s="11"/>
      <c r="G698" s="11"/>
      <c r="H698" s="3">
        <f>IF(OR(F698="",F698=0),"לא","כן")</f>
      </c>
      <c r="I698" s="3">
        <f>IF(ISNUMBER(SEARCH(",",D698)),"כן","לא")</f>
      </c>
      <c r="J698" s="3">
        <f>IF(OR(ISNUMBER(SEARCH(",",D698)),ISNUMBER(SEARCH("קבוצות",G698))),"כן","לא")</f>
      </c>
    </row>
    <row r="699" spans="2:10" x14ac:dyDescent="0.25">
      <c r="B699" s="11"/>
      <c r="C699" s="11"/>
      <c r="D699" s="11"/>
      <c r="E699" s="11"/>
      <c r="F699" s="11"/>
      <c r="G699" s="11"/>
      <c r="H699" s="3">
        <f>IF(OR(F699="",F699=0),"לא","כן")</f>
      </c>
      <c r="I699" s="3">
        <f>IF(ISNUMBER(SEARCH(",",D699)),"כן","לא")</f>
      </c>
      <c r="J699" s="3">
        <f>IF(OR(ISNUMBER(SEARCH(",",D699)),ISNUMBER(SEARCH("קבוצות",G699))),"כן","לא")</f>
      </c>
    </row>
    <row r="700" spans="2:10" x14ac:dyDescent="0.25">
      <c r="B700" s="11"/>
      <c r="C700" s="11"/>
      <c r="D700" s="11"/>
      <c r="E700" s="11"/>
      <c r="F700" s="11"/>
      <c r="G700" s="11"/>
      <c r="H700" s="3">
        <f>IF(OR(F700="",F700=0),"לא","כן")</f>
      </c>
      <c r="I700" s="3">
        <f>IF(ISNUMBER(SEARCH(",",D700)),"כן","לא")</f>
      </c>
      <c r="J700" s="3">
        <f>IF(OR(ISNUMBER(SEARCH(",",D700)),ISNUMBER(SEARCH("קבוצות",G700))),"כן","לא")</f>
      </c>
    </row>
    <row r="701" spans="2:10" x14ac:dyDescent="0.25">
      <c r="B701" s="11"/>
      <c r="C701" s="11"/>
      <c r="D701" s="11"/>
      <c r="E701" s="11"/>
      <c r="F701" s="11"/>
      <c r="G701" s="11"/>
      <c r="H701" s="3">
        <f>IF(OR(F701="",F701=0),"לא","כן")</f>
      </c>
      <c r="I701" s="3">
        <f>IF(ISNUMBER(SEARCH(",",D701)),"כן","לא")</f>
      </c>
      <c r="J701" s="3">
        <f>IF(OR(ISNUMBER(SEARCH(",",D701)),ISNUMBER(SEARCH("קבוצות",G701))),"כן","לא")</f>
      </c>
    </row>
    <row r="702" spans="2:10" x14ac:dyDescent="0.25">
      <c r="B702" s="11"/>
      <c r="C702" s="11"/>
      <c r="D702" s="11"/>
      <c r="E702" s="11"/>
      <c r="F702" s="11"/>
      <c r="G702" s="11"/>
      <c r="H702" s="3">
        <f>IF(OR(F702="",F702=0),"לא","כן")</f>
      </c>
      <c r="I702" s="3">
        <f>IF(ISNUMBER(SEARCH(",",D702)),"כן","לא")</f>
      </c>
      <c r="J702" s="3">
        <f>IF(OR(ISNUMBER(SEARCH(",",D702)),ISNUMBER(SEARCH("קבוצות",G702))),"כן","לא")</f>
      </c>
    </row>
    <row r="703" spans="2:10" x14ac:dyDescent="0.25">
      <c r="B703" s="11"/>
      <c r="C703" s="11"/>
      <c r="D703" s="11"/>
      <c r="E703" s="11"/>
      <c r="F703" s="11"/>
      <c r="G703" s="11"/>
      <c r="H703" s="3">
        <f>IF(OR(F703="",F703=0),"לא","כן")</f>
      </c>
      <c r="I703" s="3">
        <f>IF(ISNUMBER(SEARCH(",",D703)),"כן","לא")</f>
      </c>
      <c r="J703" s="3">
        <f>IF(OR(ISNUMBER(SEARCH(",",D703)),ISNUMBER(SEARCH("קבוצות",G703))),"כן","לא")</f>
      </c>
    </row>
    <row r="704" spans="2:10" x14ac:dyDescent="0.25">
      <c r="B704" s="11"/>
      <c r="C704" s="11"/>
      <c r="D704" s="11"/>
      <c r="E704" s="11"/>
      <c r="F704" s="11"/>
      <c r="G704" s="11"/>
      <c r="H704" s="3">
        <f>IF(OR(F704="",F704=0),"לא","כן")</f>
      </c>
      <c r="I704" s="3">
        <f>IF(ISNUMBER(SEARCH(",",D704)),"כן","לא")</f>
      </c>
      <c r="J704" s="3">
        <f>IF(OR(ISNUMBER(SEARCH(",",D704)),ISNUMBER(SEARCH("קבוצות",G704))),"כן","לא")</f>
      </c>
    </row>
    <row r="705" spans="2:10" x14ac:dyDescent="0.25">
      <c r="B705" s="11"/>
      <c r="C705" s="11"/>
      <c r="D705" s="11"/>
      <c r="E705" s="11"/>
      <c r="F705" s="11"/>
      <c r="G705" s="11"/>
      <c r="H705" s="3">
        <f>IF(OR(F705="",F705=0),"לא","כן")</f>
      </c>
      <c r="I705" s="3">
        <f>IF(ISNUMBER(SEARCH(",",D705)),"כן","לא")</f>
      </c>
      <c r="J705" s="3">
        <f>IF(OR(ISNUMBER(SEARCH(",",D705)),ISNUMBER(SEARCH("קבוצות",G705))),"כן","לא")</f>
      </c>
    </row>
    <row r="706" spans="2:10" x14ac:dyDescent="0.25">
      <c r="B706" s="11"/>
      <c r="C706" s="11"/>
      <c r="D706" s="11"/>
      <c r="E706" s="11"/>
      <c r="F706" s="11"/>
      <c r="G706" s="11"/>
      <c r="H706" s="3">
        <f>IF(OR(F706="",F706=0),"לא","כן")</f>
      </c>
      <c r="I706" s="3">
        <f>IF(ISNUMBER(SEARCH(",",D706)),"כן","לא")</f>
      </c>
      <c r="J706" s="3">
        <f>IF(OR(ISNUMBER(SEARCH(",",D706)),ISNUMBER(SEARCH("קבוצות",G706))),"כן","לא")</f>
      </c>
    </row>
    <row r="707" spans="2:10" x14ac:dyDescent="0.25">
      <c r="B707" s="11"/>
      <c r="C707" s="11"/>
      <c r="D707" s="11"/>
      <c r="E707" s="11"/>
      <c r="F707" s="11"/>
      <c r="G707" s="11"/>
      <c r="H707" s="3">
        <f>IF(OR(F707="",F707=0),"לא","כן")</f>
      </c>
      <c r="I707" s="3">
        <f>IF(ISNUMBER(SEARCH(",",D707)),"כן","לא")</f>
      </c>
      <c r="J707" s="3">
        <f>IF(OR(ISNUMBER(SEARCH(",",D707)),ISNUMBER(SEARCH("קבוצות",G707))),"כן","לא")</f>
      </c>
    </row>
    <row r="708" spans="2:10" x14ac:dyDescent="0.25">
      <c r="B708" s="11"/>
      <c r="C708" s="11"/>
      <c r="D708" s="11"/>
      <c r="E708" s="11"/>
      <c r="F708" s="11"/>
      <c r="G708" s="11"/>
      <c r="H708" s="3">
        <f>IF(OR(F708="",F708=0),"לא","כן")</f>
      </c>
      <c r="I708" s="3">
        <f>IF(ISNUMBER(SEARCH(",",D708)),"כן","לא")</f>
      </c>
      <c r="J708" s="3">
        <f>IF(OR(ISNUMBER(SEARCH(",",D708)),ISNUMBER(SEARCH("קבוצות",G708))),"כן","לא")</f>
      </c>
    </row>
    <row r="709" spans="2:10" x14ac:dyDescent="0.25">
      <c r="B709" s="11"/>
      <c r="C709" s="11"/>
      <c r="D709" s="11"/>
      <c r="E709" s="11"/>
      <c r="F709" s="11"/>
      <c r="G709" s="11"/>
      <c r="H709" s="3">
        <f>IF(OR(F709="",F709=0),"לא","כן")</f>
      </c>
      <c r="I709" s="3">
        <f>IF(ISNUMBER(SEARCH(",",D709)),"כן","לא")</f>
      </c>
      <c r="J709" s="3">
        <f>IF(OR(ISNUMBER(SEARCH(",",D709)),ISNUMBER(SEARCH("קבוצות",G709))),"כן","לא")</f>
      </c>
    </row>
    <row r="710" spans="2:10" x14ac:dyDescent="0.25">
      <c r="B710" s="11"/>
      <c r="C710" s="11"/>
      <c r="D710" s="11"/>
      <c r="E710" s="11"/>
      <c r="F710" s="11"/>
      <c r="G710" s="11"/>
      <c r="H710" s="3">
        <f>IF(OR(F710="",F710=0),"לא","כן")</f>
      </c>
      <c r="I710" s="3">
        <f>IF(ISNUMBER(SEARCH(",",D710)),"כן","לא")</f>
      </c>
      <c r="J710" s="3">
        <f>IF(OR(ISNUMBER(SEARCH(",",D710)),ISNUMBER(SEARCH("קבוצות",G710))),"כן","לא")</f>
      </c>
    </row>
    <row r="711" spans="2:10" x14ac:dyDescent="0.25">
      <c r="B711" s="11"/>
      <c r="C711" s="11"/>
      <c r="D711" s="11"/>
      <c r="E711" s="11"/>
      <c r="F711" s="11"/>
      <c r="G711" s="11"/>
      <c r="H711" s="3">
        <f>IF(OR(F711="",F711=0),"לא","כן")</f>
      </c>
      <c r="I711" s="3">
        <f>IF(ISNUMBER(SEARCH(",",D711)),"כן","לא")</f>
      </c>
      <c r="J711" s="3">
        <f>IF(OR(ISNUMBER(SEARCH(",",D711)),ISNUMBER(SEARCH("קבוצות",G711))),"כן","לא")</f>
      </c>
    </row>
    <row r="712" spans="2:10" x14ac:dyDescent="0.25">
      <c r="B712" s="11"/>
      <c r="C712" s="11"/>
      <c r="D712" s="11"/>
      <c r="E712" s="11"/>
      <c r="F712" s="11"/>
      <c r="G712" s="11"/>
      <c r="H712" s="3">
        <f>IF(OR(F712="",F712=0),"לא","כן")</f>
      </c>
      <c r="I712" s="3">
        <f>IF(ISNUMBER(SEARCH(",",D712)),"כן","לא")</f>
      </c>
      <c r="J712" s="3">
        <f>IF(OR(ISNUMBER(SEARCH(",",D712)),ISNUMBER(SEARCH("קבוצות",G712))),"כן","לא")</f>
      </c>
    </row>
    <row r="713" spans="2:10" x14ac:dyDescent="0.25">
      <c r="B713" s="11"/>
      <c r="C713" s="11"/>
      <c r="D713" s="11"/>
      <c r="E713" s="11"/>
      <c r="F713" s="11"/>
      <c r="G713" s="11"/>
      <c r="H713" s="3">
        <f>IF(OR(F713="",F713=0),"לא","כן")</f>
      </c>
      <c r="I713" s="3">
        <f>IF(ISNUMBER(SEARCH(",",D713)),"כן","לא")</f>
      </c>
      <c r="J713" s="3">
        <f>IF(OR(ISNUMBER(SEARCH(",",D713)),ISNUMBER(SEARCH("קבוצות",G713))),"כן","לא")</f>
      </c>
    </row>
    <row r="714" spans="2:10" x14ac:dyDescent="0.25">
      <c r="B714" s="11"/>
      <c r="C714" s="11"/>
      <c r="D714" s="11"/>
      <c r="E714" s="11"/>
      <c r="F714" s="11"/>
      <c r="G714" s="11"/>
      <c r="H714" s="3">
        <f>IF(OR(F714="",F714=0),"לא","כן")</f>
      </c>
      <c r="I714" s="3">
        <f>IF(ISNUMBER(SEARCH(",",D714)),"כן","לא")</f>
      </c>
      <c r="J714" s="3">
        <f>IF(OR(ISNUMBER(SEARCH(",",D714)),ISNUMBER(SEARCH("קבוצות",G714))),"כן","לא")</f>
      </c>
    </row>
    <row r="715" spans="2:10" x14ac:dyDescent="0.25">
      <c r="B715" s="11"/>
      <c r="C715" s="11"/>
      <c r="D715" s="11"/>
      <c r="E715" s="11"/>
      <c r="F715" s="11"/>
      <c r="G715" s="11"/>
      <c r="H715" s="3">
        <f>IF(OR(F715="",F715=0),"לא","כן")</f>
      </c>
      <c r="I715" s="3">
        <f>IF(ISNUMBER(SEARCH(",",D715)),"כן","לא")</f>
      </c>
      <c r="J715" s="3">
        <f>IF(OR(ISNUMBER(SEARCH(",",D715)),ISNUMBER(SEARCH("קבוצות",G715))),"כן","לא")</f>
      </c>
    </row>
    <row r="716" spans="2:10" x14ac:dyDescent="0.25">
      <c r="B716" s="11"/>
      <c r="C716" s="11"/>
      <c r="D716" s="11"/>
      <c r="E716" s="11"/>
      <c r="F716" s="11"/>
      <c r="G716" s="11"/>
      <c r="H716" s="3">
        <f>IF(OR(F716="",F716=0),"לא","כן")</f>
      </c>
      <c r="I716" s="3">
        <f>IF(ISNUMBER(SEARCH(",",D716)),"כן","לא")</f>
      </c>
      <c r="J716" s="3">
        <f>IF(OR(ISNUMBER(SEARCH(",",D716)),ISNUMBER(SEARCH("קבוצות",G716))),"כן","לא")</f>
      </c>
    </row>
    <row r="717" spans="2:10" x14ac:dyDescent="0.25">
      <c r="B717" s="11"/>
      <c r="C717" s="11"/>
      <c r="D717" s="11"/>
      <c r="E717" s="11"/>
      <c r="F717" s="11"/>
      <c r="G717" s="11"/>
      <c r="H717" s="3">
        <f>IF(OR(F717="",F717=0),"לא","כן")</f>
      </c>
      <c r="I717" s="3">
        <f>IF(ISNUMBER(SEARCH(",",D717)),"כן","לא")</f>
      </c>
      <c r="J717" s="3">
        <f>IF(OR(ISNUMBER(SEARCH(",",D717)),ISNUMBER(SEARCH("קבוצות",G717))),"כן","לא")</f>
      </c>
    </row>
    <row r="718" spans="2:10" x14ac:dyDescent="0.25">
      <c r="B718" s="11"/>
      <c r="C718" s="11"/>
      <c r="D718" s="11"/>
      <c r="E718" s="11"/>
      <c r="F718" s="11"/>
      <c r="G718" s="11"/>
      <c r="H718" s="3">
        <f>IF(OR(F718="",F718=0),"לא","כן")</f>
      </c>
      <c r="I718" s="3">
        <f>IF(ISNUMBER(SEARCH(",",D718)),"כן","לא")</f>
      </c>
      <c r="J718" s="3">
        <f>IF(OR(ISNUMBER(SEARCH(",",D718)),ISNUMBER(SEARCH("קבוצות",G718))),"כן","לא")</f>
      </c>
    </row>
    <row r="719" spans="2:10" x14ac:dyDescent="0.25">
      <c r="B719" s="11"/>
      <c r="C719" s="11"/>
      <c r="D719" s="11"/>
      <c r="E719" s="11"/>
      <c r="F719" s="11"/>
      <c r="G719" s="11"/>
      <c r="H719" s="3">
        <f>IF(OR(F719="",F719=0),"לא","כן")</f>
      </c>
      <c r="I719" s="3">
        <f>IF(ISNUMBER(SEARCH(",",D719)),"כן","לא")</f>
      </c>
      <c r="J719" s="3">
        <f>IF(OR(ISNUMBER(SEARCH(",",D719)),ISNUMBER(SEARCH("קבוצות",G719))),"כן","לא")</f>
      </c>
    </row>
    <row r="720" spans="2:10" x14ac:dyDescent="0.25">
      <c r="B720" s="11"/>
      <c r="C720" s="11"/>
      <c r="D720" s="11"/>
      <c r="E720" s="11"/>
      <c r="F720" s="11"/>
      <c r="G720" s="11"/>
      <c r="H720" s="3">
        <f>IF(OR(F720="",F720=0),"לא","כן")</f>
      </c>
      <c r="I720" s="3">
        <f>IF(ISNUMBER(SEARCH(",",D720)),"כן","לא")</f>
      </c>
      <c r="J720" s="3">
        <f>IF(OR(ISNUMBER(SEARCH(",",D720)),ISNUMBER(SEARCH("קבוצות",G720))),"כן","לא")</f>
      </c>
    </row>
    <row r="721" spans="2:10" x14ac:dyDescent="0.25">
      <c r="B721" s="11"/>
      <c r="C721" s="11"/>
      <c r="D721" s="11"/>
      <c r="E721" s="11"/>
      <c r="F721" s="11"/>
      <c r="G721" s="11"/>
      <c r="H721" s="3">
        <f>IF(OR(F721="",F721=0),"לא","כן")</f>
      </c>
      <c r="I721" s="3">
        <f>IF(ISNUMBER(SEARCH(",",D721)),"כן","לא")</f>
      </c>
      <c r="J721" s="3">
        <f>IF(OR(ISNUMBER(SEARCH(",",D721)),ISNUMBER(SEARCH("קבוצות",G721))),"כן","לא")</f>
      </c>
    </row>
    <row r="722" spans="2:10" x14ac:dyDescent="0.25">
      <c r="B722" s="11"/>
      <c r="C722" s="11"/>
      <c r="D722" s="11"/>
      <c r="E722" s="11"/>
      <c r="F722" s="11"/>
      <c r="G722" s="11"/>
      <c r="H722" s="3">
        <f>IF(OR(F722="",F722=0),"לא","כן")</f>
      </c>
      <c r="I722" s="3">
        <f>IF(ISNUMBER(SEARCH(",",D722)),"כן","לא")</f>
      </c>
      <c r="J722" s="3">
        <f>IF(OR(ISNUMBER(SEARCH(",",D722)),ISNUMBER(SEARCH("קבוצות",G722))),"כן","לא")</f>
      </c>
    </row>
    <row r="723" spans="2:10" x14ac:dyDescent="0.25">
      <c r="B723" s="11"/>
      <c r="C723" s="11"/>
      <c r="D723" s="11"/>
      <c r="E723" s="11"/>
      <c r="F723" s="11"/>
      <c r="G723" s="11"/>
      <c r="H723" s="3">
        <f>IF(OR(F723="",F723=0),"לא","כן")</f>
      </c>
      <c r="I723" s="3">
        <f>IF(ISNUMBER(SEARCH(",",D723)),"כן","לא")</f>
      </c>
      <c r="J723" s="3">
        <f>IF(OR(ISNUMBER(SEARCH(",",D723)),ISNUMBER(SEARCH("קבוצות",G723))),"כן","לא")</f>
      </c>
    </row>
    <row r="724" spans="2:10" x14ac:dyDescent="0.25">
      <c r="B724" s="11"/>
      <c r="C724" s="11"/>
      <c r="D724" s="11"/>
      <c r="E724" s="11"/>
      <c r="F724" s="11"/>
      <c r="G724" s="11"/>
      <c r="H724" s="3">
        <f>IF(OR(F724="",F724=0),"לא","כן")</f>
      </c>
      <c r="I724" s="3">
        <f>IF(ISNUMBER(SEARCH(",",D724)),"כן","לא")</f>
      </c>
      <c r="J724" s="3">
        <f>IF(OR(ISNUMBER(SEARCH(",",D724)),ISNUMBER(SEARCH("קבוצות",G724))),"כן","לא")</f>
      </c>
    </row>
    <row r="725" spans="2:10" x14ac:dyDescent="0.25">
      <c r="B725" s="11"/>
      <c r="C725" s="11"/>
      <c r="D725" s="11"/>
      <c r="E725" s="11"/>
      <c r="F725" s="11"/>
      <c r="G725" s="11"/>
      <c r="H725" s="3">
        <f>IF(OR(F725="",F725=0),"לא","כן")</f>
      </c>
      <c r="I725" s="3">
        <f>IF(ISNUMBER(SEARCH(",",D725)),"כן","לא")</f>
      </c>
      <c r="J725" s="3">
        <f>IF(OR(ISNUMBER(SEARCH(",",D725)),ISNUMBER(SEARCH("קבוצות",G725))),"כן","לא")</f>
      </c>
    </row>
    <row r="726" spans="2:10" x14ac:dyDescent="0.25">
      <c r="B726" s="11"/>
      <c r="C726" s="11"/>
      <c r="D726" s="11"/>
      <c r="E726" s="11"/>
      <c r="F726" s="11"/>
      <c r="G726" s="11"/>
      <c r="H726" s="3">
        <f>IF(OR(F726="",F726=0),"לא","כן")</f>
      </c>
      <c r="I726" s="3">
        <f>IF(ISNUMBER(SEARCH(",",D726)),"כן","לא")</f>
      </c>
      <c r="J726" s="3">
        <f>IF(OR(ISNUMBER(SEARCH(",",D726)),ISNUMBER(SEARCH("קבוצות",G726))),"כן","לא")</f>
      </c>
    </row>
    <row r="727" spans="2:10" x14ac:dyDescent="0.25">
      <c r="B727" s="11"/>
      <c r="C727" s="11"/>
      <c r="D727" s="11"/>
      <c r="E727" s="11"/>
      <c r="F727" s="11"/>
      <c r="G727" s="11"/>
      <c r="H727" s="3">
        <f>IF(OR(F727="",F727=0),"לא","כן")</f>
      </c>
      <c r="I727" s="3">
        <f>IF(ISNUMBER(SEARCH(",",D727)),"כן","לא")</f>
      </c>
      <c r="J727" s="3">
        <f>IF(OR(ISNUMBER(SEARCH(",",D727)),ISNUMBER(SEARCH("קבוצות",G727))),"כן","לא")</f>
      </c>
    </row>
    <row r="728" spans="2:10" x14ac:dyDescent="0.25">
      <c r="B728" s="11"/>
      <c r="C728" s="11"/>
      <c r="D728" s="11"/>
      <c r="E728" s="11"/>
      <c r="F728" s="11"/>
      <c r="G728" s="11"/>
      <c r="H728" s="3">
        <f>IF(OR(F728="",F728=0),"לא","כן")</f>
      </c>
      <c r="I728" s="3">
        <f>IF(ISNUMBER(SEARCH(",",D728)),"כן","לא")</f>
      </c>
      <c r="J728" s="3">
        <f>IF(OR(ISNUMBER(SEARCH(",",D728)),ISNUMBER(SEARCH("קבוצות",G728))),"כן","לא")</f>
      </c>
    </row>
    <row r="729" spans="2:10" x14ac:dyDescent="0.25">
      <c r="B729" s="11"/>
      <c r="C729" s="11"/>
      <c r="D729" s="11"/>
      <c r="E729" s="11"/>
      <c r="F729" s="11"/>
      <c r="G729" s="11"/>
      <c r="H729" s="3">
        <f>IF(OR(F729="",F729=0),"לא","כן")</f>
      </c>
      <c r="I729" s="3">
        <f>IF(ISNUMBER(SEARCH(",",D729)),"כן","לא")</f>
      </c>
      <c r="J729" s="3">
        <f>IF(OR(ISNUMBER(SEARCH(",",D729)),ISNUMBER(SEARCH("קבוצות",G729))),"כן","לא")</f>
      </c>
    </row>
    <row r="730" spans="2:10" x14ac:dyDescent="0.25">
      <c r="B730" s="11"/>
      <c r="C730" s="11"/>
      <c r="D730" s="11"/>
      <c r="E730" s="11"/>
      <c r="F730" s="11"/>
      <c r="G730" s="11"/>
      <c r="H730" s="3">
        <f>IF(OR(F730="",F730=0),"לא","כן")</f>
      </c>
      <c r="I730" s="3">
        <f>IF(ISNUMBER(SEARCH(",",D730)),"כן","לא")</f>
      </c>
      <c r="J730" s="3">
        <f>IF(OR(ISNUMBER(SEARCH(",",D730)),ISNUMBER(SEARCH("קבוצות",G730))),"כן","לא")</f>
      </c>
    </row>
    <row r="731" spans="2:10" x14ac:dyDescent="0.25">
      <c r="B731" s="11"/>
      <c r="C731" s="11"/>
      <c r="D731" s="11"/>
      <c r="E731" s="11"/>
      <c r="F731" s="11"/>
      <c r="G731" s="11"/>
      <c r="H731" s="3">
        <f>IF(OR(F731="",F731=0),"לא","כן")</f>
      </c>
      <c r="I731" s="3">
        <f>IF(ISNUMBER(SEARCH(",",D731)),"כן","לא")</f>
      </c>
      <c r="J731" s="3">
        <f>IF(OR(ISNUMBER(SEARCH(",",D731)),ISNUMBER(SEARCH("קבוצות",G731))),"כן","לא")</f>
      </c>
    </row>
    <row r="732" spans="2:10" x14ac:dyDescent="0.25">
      <c r="B732" s="11"/>
      <c r="C732" s="11"/>
      <c r="D732" s="11"/>
      <c r="E732" s="11"/>
      <c r="F732" s="11"/>
      <c r="G732" s="11"/>
      <c r="H732" s="3">
        <f>IF(OR(F732="",F732=0),"לא","כן")</f>
      </c>
      <c r="I732" s="3">
        <f>IF(ISNUMBER(SEARCH(",",D732)),"כן","לא")</f>
      </c>
      <c r="J732" s="3">
        <f>IF(OR(ISNUMBER(SEARCH(",",D732)),ISNUMBER(SEARCH("קבוצות",G732))),"כן","לא")</f>
      </c>
    </row>
    <row r="733" spans="2:10" x14ac:dyDescent="0.25">
      <c r="B733" s="11"/>
      <c r="C733" s="11"/>
      <c r="D733" s="11"/>
      <c r="E733" s="11"/>
      <c r="F733" s="11"/>
      <c r="G733" s="11"/>
      <c r="H733" s="3">
        <f>IF(OR(F733="",F733=0),"לא","כן")</f>
      </c>
      <c r="I733" s="3">
        <f>IF(ISNUMBER(SEARCH(",",D733)),"כן","לא")</f>
      </c>
      <c r="J733" s="3">
        <f>IF(OR(ISNUMBER(SEARCH(",",D733)),ISNUMBER(SEARCH("קבוצות",G733))),"כן","לא")</f>
      </c>
    </row>
    <row r="734" spans="2:10" x14ac:dyDescent="0.25">
      <c r="B734" s="11"/>
      <c r="C734" s="11"/>
      <c r="D734" s="11"/>
      <c r="E734" s="11"/>
      <c r="F734" s="11"/>
      <c r="G734" s="11"/>
      <c r="H734" s="3">
        <f>IF(OR(F734="",F734=0),"לא","כן")</f>
      </c>
      <c r="I734" s="3">
        <f>IF(ISNUMBER(SEARCH(",",D734)),"כן","לא")</f>
      </c>
      <c r="J734" s="3">
        <f>IF(OR(ISNUMBER(SEARCH(",",D734)),ISNUMBER(SEARCH("קבוצות",G734))),"כן","לא")</f>
      </c>
    </row>
    <row r="735" spans="2:10" x14ac:dyDescent="0.25">
      <c r="B735" s="11"/>
      <c r="C735" s="11"/>
      <c r="D735" s="11"/>
      <c r="E735" s="11"/>
      <c r="F735" s="11"/>
      <c r="G735" s="11"/>
      <c r="H735" s="3">
        <f>IF(OR(F735="",F735=0),"לא","כן")</f>
      </c>
      <c r="I735" s="3">
        <f>IF(ISNUMBER(SEARCH(",",D735)),"כן","לא")</f>
      </c>
      <c r="J735" s="3">
        <f>IF(OR(ISNUMBER(SEARCH(",",D735)),ISNUMBER(SEARCH("קבוצות",G735))),"כן","לא")</f>
      </c>
    </row>
    <row r="736" spans="2:10" x14ac:dyDescent="0.25">
      <c r="B736" s="11"/>
      <c r="C736" s="11"/>
      <c r="D736" s="11"/>
      <c r="E736" s="11"/>
      <c r="F736" s="11"/>
      <c r="G736" s="11"/>
      <c r="H736" s="3">
        <f>IF(OR(F736="",F736=0),"לא","כן")</f>
      </c>
      <c r="I736" s="3">
        <f>IF(ISNUMBER(SEARCH(",",D736)),"כן","לא")</f>
      </c>
      <c r="J736" s="3">
        <f>IF(OR(ISNUMBER(SEARCH(",",D736)),ISNUMBER(SEARCH("קבוצות",G736))),"כן","לא")</f>
      </c>
    </row>
    <row r="737" spans="2:10" x14ac:dyDescent="0.25">
      <c r="B737" s="11"/>
      <c r="C737" s="11"/>
      <c r="D737" s="11"/>
      <c r="E737" s="11"/>
      <c r="F737" s="11"/>
      <c r="G737" s="11"/>
      <c r="H737" s="3">
        <f>IF(OR(F737="",F737=0),"לא","כן")</f>
      </c>
      <c r="I737" s="3">
        <f>IF(ISNUMBER(SEARCH(",",D737)),"כן","לא")</f>
      </c>
      <c r="J737" s="3">
        <f>IF(OR(ISNUMBER(SEARCH(",",D737)),ISNUMBER(SEARCH("קבוצות",G737))),"כן","לא")</f>
      </c>
    </row>
    <row r="738" spans="2:10" x14ac:dyDescent="0.25">
      <c r="B738" s="11"/>
      <c r="C738" s="11"/>
      <c r="D738" s="11"/>
      <c r="E738" s="11"/>
      <c r="F738" s="11"/>
      <c r="G738" s="11"/>
      <c r="H738" s="3">
        <f>IF(OR(F738="",F738=0),"לא","כן")</f>
      </c>
      <c r="I738" s="3">
        <f>IF(ISNUMBER(SEARCH(",",D738)),"כן","לא")</f>
      </c>
      <c r="J738" s="3">
        <f>IF(OR(ISNUMBER(SEARCH(",",D738)),ISNUMBER(SEARCH("קבוצות",G738))),"כן","לא")</f>
      </c>
    </row>
    <row r="739" spans="2:10" x14ac:dyDescent="0.25">
      <c r="B739" s="11"/>
      <c r="C739" s="11"/>
      <c r="D739" s="11"/>
      <c r="E739" s="11"/>
      <c r="F739" s="11"/>
      <c r="G739" s="11"/>
      <c r="H739" s="3">
        <f>IF(OR(F739="",F739=0),"לא","כן")</f>
      </c>
      <c r="I739" s="3">
        <f>IF(ISNUMBER(SEARCH(",",D739)),"כן","לא")</f>
      </c>
      <c r="J739" s="3">
        <f>IF(OR(ISNUMBER(SEARCH(",",D739)),ISNUMBER(SEARCH("קבוצות",G739))),"כן","לא")</f>
      </c>
    </row>
    <row r="740" spans="2:10" x14ac:dyDescent="0.25">
      <c r="B740" s="11"/>
      <c r="C740" s="11"/>
      <c r="D740" s="11"/>
      <c r="E740" s="11"/>
      <c r="F740" s="11"/>
      <c r="G740" s="11"/>
      <c r="H740" s="3">
        <f>IF(OR(F740="",F740=0),"לא","כן")</f>
      </c>
      <c r="I740" s="3">
        <f>IF(ISNUMBER(SEARCH(",",D740)),"כן","לא")</f>
      </c>
      <c r="J740" s="3">
        <f>IF(OR(ISNUMBER(SEARCH(",",D740)),ISNUMBER(SEARCH("קבוצות",G740))),"כן","לא")</f>
      </c>
    </row>
    <row r="741" spans="2:10" x14ac:dyDescent="0.25">
      <c r="B741" s="11"/>
      <c r="C741" s="11"/>
      <c r="D741" s="11"/>
      <c r="E741" s="11"/>
      <c r="F741" s="11"/>
      <c r="G741" s="11"/>
      <c r="H741" s="3">
        <f>IF(OR(F741="",F741=0),"לא","כן")</f>
      </c>
      <c r="I741" s="3">
        <f>IF(ISNUMBER(SEARCH(",",D741)),"כן","לא")</f>
      </c>
      <c r="J741" s="3">
        <f>IF(OR(ISNUMBER(SEARCH(",",D741)),ISNUMBER(SEARCH("קבוצות",G741))),"כן","לא")</f>
      </c>
    </row>
    <row r="742" spans="2:10" x14ac:dyDescent="0.25">
      <c r="B742" s="11"/>
      <c r="C742" s="11"/>
      <c r="D742" s="11"/>
      <c r="E742" s="11"/>
      <c r="F742" s="11"/>
      <c r="G742" s="11"/>
      <c r="H742" s="3">
        <f>IF(OR(F742="",F742=0),"לא","כן")</f>
      </c>
      <c r="I742" s="3">
        <f>IF(ISNUMBER(SEARCH(",",D742)),"כן","לא")</f>
      </c>
      <c r="J742" s="3">
        <f>IF(OR(ISNUMBER(SEARCH(",",D742)),ISNUMBER(SEARCH("קבוצות",G742))),"כן","לא")</f>
      </c>
    </row>
    <row r="743" spans="2:10" x14ac:dyDescent="0.25">
      <c r="B743" s="11"/>
      <c r="C743" s="11"/>
      <c r="D743" s="11"/>
      <c r="E743" s="11"/>
      <c r="F743" s="11"/>
      <c r="G743" s="11"/>
      <c r="H743" s="3">
        <f>IF(OR(F743="",F743=0),"לא","כן")</f>
      </c>
      <c r="I743" s="3">
        <f>IF(ISNUMBER(SEARCH(",",D743)),"כן","לא")</f>
      </c>
      <c r="J743" s="3">
        <f>IF(OR(ISNUMBER(SEARCH(",",D743)),ISNUMBER(SEARCH("קבוצות",G743))),"כן","לא")</f>
      </c>
    </row>
    <row r="744" spans="2:10" x14ac:dyDescent="0.25">
      <c r="B744" s="11"/>
      <c r="C744" s="11"/>
      <c r="D744" s="11"/>
      <c r="E744" s="11"/>
      <c r="F744" s="11"/>
      <c r="G744" s="11"/>
      <c r="H744" s="3">
        <f>IF(OR(F744="",F744=0),"לא","כן")</f>
      </c>
      <c r="I744" s="3">
        <f>IF(ISNUMBER(SEARCH(",",D744)),"כן","לא")</f>
      </c>
      <c r="J744" s="3">
        <f>IF(OR(ISNUMBER(SEARCH(",",D744)),ISNUMBER(SEARCH("קבוצות",G744))),"כן","לא")</f>
      </c>
    </row>
    <row r="745" spans="2:10" x14ac:dyDescent="0.25">
      <c r="B745" s="11"/>
      <c r="C745" s="11"/>
      <c r="D745" s="11"/>
      <c r="E745" s="11"/>
      <c r="F745" s="11"/>
      <c r="G745" s="11"/>
      <c r="H745" s="3">
        <f>IF(OR(F745="",F745=0),"לא","כן")</f>
      </c>
      <c r="I745" s="3">
        <f>IF(ISNUMBER(SEARCH(",",D745)),"כן","לא")</f>
      </c>
      <c r="J745" s="3">
        <f>IF(OR(ISNUMBER(SEARCH(",",D745)),ISNUMBER(SEARCH("קבוצות",G745))),"כן","לא")</f>
      </c>
    </row>
    <row r="746" spans="2:10" x14ac:dyDescent="0.25">
      <c r="B746" s="11"/>
      <c r="C746" s="11"/>
      <c r="D746" s="11"/>
      <c r="E746" s="11"/>
      <c r="F746" s="11"/>
      <c r="G746" s="11"/>
      <c r="H746" s="3">
        <f>IF(OR(F746="",F746=0),"לא","כן")</f>
      </c>
      <c r="I746" s="3">
        <f>IF(ISNUMBER(SEARCH(",",D746)),"כן","לא")</f>
      </c>
      <c r="J746" s="3">
        <f>IF(OR(ISNUMBER(SEARCH(",",D746)),ISNUMBER(SEARCH("קבוצות",G746))),"כן","לא")</f>
      </c>
    </row>
    <row r="747" spans="2:10" x14ac:dyDescent="0.25">
      <c r="B747" s="11"/>
      <c r="C747" s="11"/>
      <c r="D747" s="11"/>
      <c r="E747" s="11"/>
      <c r="F747" s="11"/>
      <c r="G747" s="11"/>
      <c r="H747" s="3">
        <f>IF(OR(F747="",F747=0),"לא","כן")</f>
      </c>
      <c r="I747" s="3">
        <f>IF(ISNUMBER(SEARCH(",",D747)),"כן","לא")</f>
      </c>
      <c r="J747" s="3">
        <f>IF(OR(ISNUMBER(SEARCH(",",D747)),ISNUMBER(SEARCH("קבוצות",G747))),"כן","לא")</f>
      </c>
    </row>
    <row r="748" spans="2:10" x14ac:dyDescent="0.25">
      <c r="B748" s="11"/>
      <c r="C748" s="11"/>
      <c r="D748" s="11"/>
      <c r="E748" s="11"/>
      <c r="F748" s="11"/>
      <c r="G748" s="11"/>
      <c r="H748" s="3">
        <f>IF(OR(F748="",F748=0),"לא","כן")</f>
      </c>
      <c r="I748" s="3">
        <f>IF(ISNUMBER(SEARCH(",",D748)),"כן","לא")</f>
      </c>
      <c r="J748" s="3">
        <f>IF(OR(ISNUMBER(SEARCH(",",D748)),ISNUMBER(SEARCH("קבוצות",G748))),"כן","לא")</f>
      </c>
    </row>
    <row r="749" spans="2:10" x14ac:dyDescent="0.25">
      <c r="B749" s="11"/>
      <c r="C749" s="11"/>
      <c r="D749" s="11"/>
      <c r="E749" s="11"/>
      <c r="F749" s="11"/>
      <c r="G749" s="11"/>
      <c r="H749" s="3">
        <f>IF(OR(F749="",F749=0),"לא","כן")</f>
      </c>
      <c r="I749" s="3">
        <f>IF(ISNUMBER(SEARCH(",",D749)),"כן","לא")</f>
      </c>
      <c r="J749" s="3">
        <f>IF(OR(ISNUMBER(SEARCH(",",D749)),ISNUMBER(SEARCH("קבוצות",G749))),"כן","לא")</f>
      </c>
    </row>
    <row r="750" spans="2:10" x14ac:dyDescent="0.25">
      <c r="B750" s="11"/>
      <c r="C750" s="11"/>
      <c r="D750" s="11"/>
      <c r="E750" s="11"/>
      <c r="F750" s="11"/>
      <c r="G750" s="11"/>
      <c r="H750" s="3">
        <f>IF(OR(F750="",F750=0),"לא","כן")</f>
      </c>
      <c r="I750" s="3">
        <f>IF(ISNUMBER(SEARCH(",",D750)),"כן","לא")</f>
      </c>
      <c r="J750" s="3">
        <f>IF(OR(ISNUMBER(SEARCH(",",D750)),ISNUMBER(SEARCH("קבוצות",G750))),"כן","לא")</f>
      </c>
    </row>
    <row r="751" spans="2:10" x14ac:dyDescent="0.25">
      <c r="B751" s="11"/>
      <c r="C751" s="11"/>
      <c r="D751" s="11"/>
      <c r="E751" s="11"/>
      <c r="F751" s="11"/>
      <c r="G751" s="11"/>
      <c r="H751" s="3">
        <f>IF(OR(F751="",F751=0),"לא","כן")</f>
      </c>
      <c r="I751" s="3">
        <f>IF(ISNUMBER(SEARCH(",",D751)),"כן","לא")</f>
      </c>
      <c r="J751" s="3">
        <f>IF(OR(ISNUMBER(SEARCH(",",D751)),ISNUMBER(SEARCH("קבוצות",G751))),"כן","לא")</f>
      </c>
    </row>
    <row r="752" spans="2:10" x14ac:dyDescent="0.25">
      <c r="B752" s="11"/>
      <c r="C752" s="11"/>
      <c r="D752" s="11"/>
      <c r="E752" s="11"/>
      <c r="F752" s="11"/>
      <c r="G752" s="11"/>
      <c r="H752" s="3">
        <f>IF(OR(F752="",F752=0),"לא","כן")</f>
      </c>
      <c r="I752" s="3">
        <f>IF(ISNUMBER(SEARCH(",",D752)),"כן","לא")</f>
      </c>
      <c r="J752" s="3">
        <f>IF(OR(ISNUMBER(SEARCH(",",D752)),ISNUMBER(SEARCH("קבוצות",G752))),"כן","לא")</f>
      </c>
    </row>
    <row r="753" spans="2:10" x14ac:dyDescent="0.25">
      <c r="B753" s="11"/>
      <c r="C753" s="11"/>
      <c r="D753" s="11"/>
      <c r="E753" s="11"/>
      <c r="F753" s="11"/>
      <c r="G753" s="11"/>
      <c r="H753" s="3">
        <f>IF(OR(F753="",F753=0),"לא","כן")</f>
      </c>
      <c r="I753" s="3">
        <f>IF(ISNUMBER(SEARCH(",",D753)),"כן","לא")</f>
      </c>
      <c r="J753" s="3">
        <f>IF(OR(ISNUMBER(SEARCH(",",D753)),ISNUMBER(SEARCH("קבוצות",G753))),"כן","לא")</f>
      </c>
    </row>
    <row r="754" spans="2:10" x14ac:dyDescent="0.25">
      <c r="B754" s="11"/>
      <c r="C754" s="11"/>
      <c r="D754" s="11"/>
      <c r="E754" s="11"/>
      <c r="F754" s="11"/>
      <c r="G754" s="11"/>
      <c r="H754" s="3">
        <f>IF(OR(F754="",F754=0),"לא","כן")</f>
      </c>
      <c r="I754" s="3">
        <f>IF(ISNUMBER(SEARCH(",",D754)),"כן","לא")</f>
      </c>
      <c r="J754" s="3">
        <f>IF(OR(ISNUMBER(SEARCH(",",D754)),ISNUMBER(SEARCH("קבוצות",G754))),"כן","לא")</f>
      </c>
    </row>
    <row r="755" spans="2:10" x14ac:dyDescent="0.25">
      <c r="B755" s="11"/>
      <c r="C755" s="11"/>
      <c r="D755" s="11"/>
      <c r="E755" s="11"/>
      <c r="F755" s="11"/>
      <c r="G755" s="11"/>
      <c r="H755" s="3">
        <f>IF(OR(F755="",F755=0),"לא","כן")</f>
      </c>
      <c r="I755" s="3">
        <f>IF(ISNUMBER(SEARCH(",",D755)),"כן","לא")</f>
      </c>
      <c r="J755" s="3">
        <f>IF(OR(ISNUMBER(SEARCH(",",D755)),ISNUMBER(SEARCH("קבוצות",G755))),"כן","לא")</f>
      </c>
    </row>
    <row r="756" spans="2:10" x14ac:dyDescent="0.25">
      <c r="B756" s="11"/>
      <c r="C756" s="11"/>
      <c r="D756" s="11"/>
      <c r="E756" s="11"/>
      <c r="F756" s="11"/>
      <c r="G756" s="11"/>
      <c r="H756" s="3">
        <f>IF(OR(F756="",F756=0),"לא","כן")</f>
      </c>
      <c r="I756" s="3">
        <f>IF(ISNUMBER(SEARCH(",",D756)),"כן","לא")</f>
      </c>
      <c r="J756" s="3">
        <f>IF(OR(ISNUMBER(SEARCH(",",D756)),ISNUMBER(SEARCH("קבוצות",G756))),"כן","לא")</f>
      </c>
    </row>
    <row r="757" spans="2:10" x14ac:dyDescent="0.25">
      <c r="B757" s="11"/>
      <c r="C757" s="11"/>
      <c r="D757" s="11"/>
      <c r="E757" s="11"/>
      <c r="F757" s="11"/>
      <c r="G757" s="11"/>
      <c r="H757" s="3">
        <f>IF(OR(F757="",F757=0),"לא","כן")</f>
      </c>
      <c r="I757" s="3">
        <f>IF(ISNUMBER(SEARCH(",",D757)),"כן","לא")</f>
      </c>
      <c r="J757" s="3">
        <f>IF(OR(ISNUMBER(SEARCH(",",D757)),ISNUMBER(SEARCH("קבוצות",G757))),"כן","לא")</f>
      </c>
    </row>
    <row r="758" spans="2:10" x14ac:dyDescent="0.25">
      <c r="B758" s="11"/>
      <c r="C758" s="11"/>
      <c r="D758" s="11"/>
      <c r="E758" s="11"/>
      <c r="F758" s="11"/>
      <c r="G758" s="11"/>
      <c r="H758" s="3">
        <f>IF(OR(F758="",F758=0),"לא","כן")</f>
      </c>
      <c r="I758" s="3">
        <f>IF(ISNUMBER(SEARCH(",",D758)),"כן","לא")</f>
      </c>
      <c r="J758" s="3">
        <f>IF(OR(ISNUMBER(SEARCH(",",D758)),ISNUMBER(SEARCH("קבוצות",G758))),"כן","לא")</f>
      </c>
    </row>
    <row r="759" spans="2:10" x14ac:dyDescent="0.25">
      <c r="B759" s="11"/>
      <c r="C759" s="11"/>
      <c r="D759" s="11"/>
      <c r="E759" s="11"/>
      <c r="F759" s="11"/>
      <c r="G759" s="11"/>
      <c r="H759" s="3">
        <f>IF(OR(F759="",F759=0),"לא","כן")</f>
      </c>
      <c r="I759" s="3">
        <f>IF(ISNUMBER(SEARCH(",",D759)),"כן","לא")</f>
      </c>
      <c r="J759" s="3">
        <f>IF(OR(ISNUMBER(SEARCH(",",D759)),ISNUMBER(SEARCH("קבוצות",G759))),"כן","לא")</f>
      </c>
    </row>
    <row r="760" spans="2:10" x14ac:dyDescent="0.25">
      <c r="B760" s="11"/>
      <c r="C760" s="11"/>
      <c r="D760" s="11"/>
      <c r="E760" s="11"/>
      <c r="F760" s="11"/>
      <c r="G760" s="11"/>
      <c r="H760" s="3">
        <f>IF(OR(F760="",F760=0),"לא","כן")</f>
      </c>
      <c r="I760" s="3">
        <f>IF(ISNUMBER(SEARCH(",",D760)),"כן","לא")</f>
      </c>
      <c r="J760" s="3">
        <f>IF(OR(ISNUMBER(SEARCH(",",D760)),ISNUMBER(SEARCH("קבוצות",G760))),"כן","לא")</f>
      </c>
    </row>
    <row r="761" spans="2:10" x14ac:dyDescent="0.25">
      <c r="B761" s="11"/>
      <c r="C761" s="11"/>
      <c r="D761" s="11"/>
      <c r="E761" s="11"/>
      <c r="F761" s="11"/>
      <c r="G761" s="11"/>
      <c r="H761" s="3">
        <f>IF(OR(F761="",F761=0),"לא","כן")</f>
      </c>
      <c r="I761" s="3">
        <f>IF(ISNUMBER(SEARCH(",",D761)),"כן","לא")</f>
      </c>
      <c r="J761" s="3">
        <f>IF(OR(ISNUMBER(SEARCH(",",D761)),ISNUMBER(SEARCH("קבוצות",G761))),"כן","לא")</f>
      </c>
    </row>
    <row r="762" spans="2:10" x14ac:dyDescent="0.25">
      <c r="B762" s="11"/>
      <c r="C762" s="11"/>
      <c r="D762" s="11"/>
      <c r="E762" s="11"/>
      <c r="F762" s="11"/>
      <c r="G762" s="11"/>
      <c r="H762" s="3">
        <f>IF(OR(F762="",F762=0),"לא","כן")</f>
      </c>
      <c r="I762" s="3">
        <f>IF(ISNUMBER(SEARCH(",",D762)),"כן","לא")</f>
      </c>
      <c r="J762" s="3">
        <f>IF(OR(ISNUMBER(SEARCH(",",D762)),ISNUMBER(SEARCH("קבוצות",G762))),"כן","לא")</f>
      </c>
    </row>
    <row r="763" spans="2:10" x14ac:dyDescent="0.25">
      <c r="B763" s="11"/>
      <c r="C763" s="11"/>
      <c r="D763" s="11"/>
      <c r="E763" s="11"/>
      <c r="F763" s="11"/>
      <c r="G763" s="11"/>
      <c r="H763" s="3">
        <f>IF(OR(F763="",F763=0),"לא","כן")</f>
      </c>
      <c r="I763" s="3">
        <f>IF(ISNUMBER(SEARCH(",",D763)),"כן","לא")</f>
      </c>
      <c r="J763" s="3">
        <f>IF(OR(ISNUMBER(SEARCH(",",D763)),ISNUMBER(SEARCH("קבוצות",G763))),"כן","לא")</f>
      </c>
    </row>
    <row r="764" spans="2:10" x14ac:dyDescent="0.25">
      <c r="B764" s="11"/>
      <c r="C764" s="11"/>
      <c r="D764" s="11"/>
      <c r="E764" s="11"/>
      <c r="F764" s="11"/>
      <c r="G764" s="11"/>
      <c r="H764" s="3">
        <f>IF(OR(F764="",F764=0),"לא","כן")</f>
      </c>
      <c r="I764" s="3">
        <f>IF(ISNUMBER(SEARCH(",",D764)),"כן","לא")</f>
      </c>
      <c r="J764" s="3">
        <f>IF(OR(ISNUMBER(SEARCH(",",D764)),ISNUMBER(SEARCH("קבוצות",G764))),"כן","לא")</f>
      </c>
    </row>
    <row r="765" spans="2:10" x14ac:dyDescent="0.25">
      <c r="B765" s="11"/>
      <c r="C765" s="11"/>
      <c r="D765" s="11"/>
      <c r="E765" s="11"/>
      <c r="F765" s="11"/>
      <c r="G765" s="11"/>
      <c r="H765" s="3">
        <f>IF(OR(F765="",F765=0),"לא","כן")</f>
      </c>
      <c r="I765" s="3">
        <f>IF(ISNUMBER(SEARCH(",",D765)),"כן","לא")</f>
      </c>
      <c r="J765" s="3">
        <f>IF(OR(ISNUMBER(SEARCH(",",D765)),ISNUMBER(SEARCH("קבוצות",G765))),"כן","לא")</f>
      </c>
    </row>
    <row r="766" spans="2:10" x14ac:dyDescent="0.25">
      <c r="B766" s="11"/>
      <c r="C766" s="11"/>
      <c r="D766" s="11"/>
      <c r="E766" s="11"/>
      <c r="F766" s="11"/>
      <c r="G766" s="11"/>
      <c r="H766" s="3">
        <f>IF(OR(F766="",F766=0),"לא","כן")</f>
      </c>
      <c r="I766" s="3">
        <f>IF(ISNUMBER(SEARCH(",",D766)),"כן","לא")</f>
      </c>
      <c r="J766" s="3">
        <f>IF(OR(ISNUMBER(SEARCH(",",D766)),ISNUMBER(SEARCH("קבוצות",G766))),"כן","לא")</f>
      </c>
    </row>
    <row r="767" spans="2:10" x14ac:dyDescent="0.25">
      <c r="B767" s="11"/>
      <c r="C767" s="11"/>
      <c r="D767" s="11"/>
      <c r="E767" s="11"/>
      <c r="F767" s="11"/>
      <c r="G767" s="11"/>
      <c r="H767" s="3">
        <f>IF(OR(F767="",F767=0),"לא","כן")</f>
      </c>
      <c r="I767" s="3">
        <f>IF(ISNUMBER(SEARCH(",",D767)),"כן","לא")</f>
      </c>
      <c r="J767" s="3">
        <f>IF(OR(ISNUMBER(SEARCH(",",D767)),ISNUMBER(SEARCH("קבוצות",G767))),"כן","לא")</f>
      </c>
    </row>
    <row r="768" spans="2:10" x14ac:dyDescent="0.25">
      <c r="B768" s="11"/>
      <c r="C768" s="11"/>
      <c r="D768" s="11"/>
      <c r="E768" s="11"/>
      <c r="F768" s="11"/>
      <c r="G768" s="11"/>
      <c r="H768" s="3">
        <f>IF(OR(F768="",F768=0),"לא","כן")</f>
      </c>
      <c r="I768" s="3">
        <f>IF(ISNUMBER(SEARCH(",",D768)),"כן","לא")</f>
      </c>
      <c r="J768" s="3">
        <f>IF(OR(ISNUMBER(SEARCH(",",D768)),ISNUMBER(SEARCH("קבוצות",G768))),"כן","לא")</f>
      </c>
    </row>
    <row r="769" spans="2:10" x14ac:dyDescent="0.25">
      <c r="B769" s="11"/>
      <c r="C769" s="11"/>
      <c r="D769" s="11"/>
      <c r="E769" s="11"/>
      <c r="F769" s="11"/>
      <c r="G769" s="11"/>
      <c r="H769" s="3">
        <f>IF(OR(F769="",F769=0),"לא","כן")</f>
      </c>
      <c r="I769" s="3">
        <f>IF(ISNUMBER(SEARCH(",",D769)),"כן","לא")</f>
      </c>
      <c r="J769" s="3">
        <f>IF(OR(ISNUMBER(SEARCH(",",D769)),ISNUMBER(SEARCH("קבוצות",G769))),"כן","לא")</f>
      </c>
    </row>
    <row r="770" spans="2:10" x14ac:dyDescent="0.25">
      <c r="B770" s="11"/>
      <c r="C770" s="11"/>
      <c r="D770" s="11"/>
      <c r="E770" s="11"/>
      <c r="F770" s="11"/>
      <c r="G770" s="11"/>
      <c r="H770" s="3">
        <f>IF(OR(F770="",F770=0),"לא","כן")</f>
      </c>
      <c r="I770" s="3">
        <f>IF(ISNUMBER(SEARCH(",",D770)),"כן","לא")</f>
      </c>
      <c r="J770" s="3">
        <f>IF(OR(ISNUMBER(SEARCH(",",D770)),ISNUMBER(SEARCH("קבוצות",G770))),"כן","לא")</f>
      </c>
    </row>
    <row r="771" spans="2:10" x14ac:dyDescent="0.25">
      <c r="B771" s="11"/>
      <c r="C771" s="11"/>
      <c r="D771" s="11"/>
      <c r="E771" s="11"/>
      <c r="F771" s="11"/>
      <c r="G771" s="11"/>
      <c r="H771" s="3">
        <f>IF(OR(F771="",F771=0),"לא","כן")</f>
      </c>
      <c r="I771" s="3">
        <f>IF(ISNUMBER(SEARCH(",",D771)),"כן","לא")</f>
      </c>
      <c r="J771" s="3">
        <f>IF(OR(ISNUMBER(SEARCH(",",D771)),ISNUMBER(SEARCH("קבוצות",G771))),"כן","לא")</f>
      </c>
    </row>
    <row r="772" spans="2:10" x14ac:dyDescent="0.25">
      <c r="B772" s="11"/>
      <c r="C772" s="11"/>
      <c r="D772" s="11"/>
      <c r="E772" s="11"/>
      <c r="F772" s="11"/>
      <c r="G772" s="11"/>
      <c r="H772" s="3">
        <f>IF(OR(F772="",F772=0),"לא","כן")</f>
      </c>
      <c r="I772" s="3">
        <f>IF(ISNUMBER(SEARCH(",",D772)),"כן","לא")</f>
      </c>
      <c r="J772" s="3">
        <f>IF(OR(ISNUMBER(SEARCH(",",D772)),ISNUMBER(SEARCH("קבוצות",G772))),"כן","לא")</f>
      </c>
    </row>
    <row r="773" spans="2:10" x14ac:dyDescent="0.25">
      <c r="B773" s="11"/>
      <c r="C773" s="11"/>
      <c r="D773" s="11"/>
      <c r="E773" s="11"/>
      <c r="F773" s="11"/>
      <c r="G773" s="11"/>
      <c r="H773" s="3">
        <f>IF(OR(F773="",F773=0),"לא","כן")</f>
      </c>
      <c r="I773" s="3">
        <f>IF(ISNUMBER(SEARCH(",",D773)),"כן","לא")</f>
      </c>
      <c r="J773" s="3">
        <f>IF(OR(ISNUMBER(SEARCH(",",D773)),ISNUMBER(SEARCH("קבוצות",G773))),"כן","לא")</f>
      </c>
    </row>
    <row r="774" spans="2:10" x14ac:dyDescent="0.25">
      <c r="B774" s="11"/>
      <c r="C774" s="11"/>
      <c r="D774" s="11"/>
      <c r="E774" s="11"/>
      <c r="F774" s="11"/>
      <c r="G774" s="11"/>
      <c r="H774" s="3">
        <f>IF(OR(F774="",F774=0),"לא","כן")</f>
      </c>
      <c r="I774" s="3">
        <f>IF(ISNUMBER(SEARCH(",",D774)),"כן","לא")</f>
      </c>
      <c r="J774" s="3">
        <f>IF(OR(ISNUMBER(SEARCH(",",D774)),ISNUMBER(SEARCH("קבוצות",G774))),"כן","לא")</f>
      </c>
    </row>
    <row r="775" spans="2:10" x14ac:dyDescent="0.25">
      <c r="B775" s="11"/>
      <c r="C775" s="11"/>
      <c r="D775" s="11"/>
      <c r="E775" s="11"/>
      <c r="F775" s="11"/>
      <c r="G775" s="11"/>
      <c r="H775" s="3">
        <f>IF(OR(F775="",F775=0),"לא","כן")</f>
      </c>
      <c r="I775" s="3">
        <f>IF(ISNUMBER(SEARCH(",",D775)),"כן","לא")</f>
      </c>
      <c r="J775" s="3">
        <f>IF(OR(ISNUMBER(SEARCH(",",D775)),ISNUMBER(SEARCH("קבוצות",G775))),"כן","לא")</f>
      </c>
    </row>
    <row r="776" spans="2:10" x14ac:dyDescent="0.25">
      <c r="B776" s="11"/>
      <c r="C776" s="11"/>
      <c r="D776" s="11"/>
      <c r="E776" s="11"/>
      <c r="F776" s="11"/>
      <c r="G776" s="11"/>
      <c r="H776" s="3">
        <f>IF(OR(F776="",F776=0),"לא","כן")</f>
      </c>
      <c r="I776" s="3">
        <f>IF(ISNUMBER(SEARCH(",",D776)),"כן","לא")</f>
      </c>
      <c r="J776" s="3">
        <f>IF(OR(ISNUMBER(SEARCH(",",D776)),ISNUMBER(SEARCH("קבוצות",G776))),"כן","לא")</f>
      </c>
    </row>
    <row r="777" spans="2:10" x14ac:dyDescent="0.25">
      <c r="B777" s="11"/>
      <c r="C777" s="11"/>
      <c r="D777" s="11"/>
      <c r="E777" s="11"/>
      <c r="F777" s="11"/>
      <c r="G777" s="11"/>
      <c r="H777" s="3">
        <f>IF(OR(F777="",F777=0),"לא","כן")</f>
      </c>
      <c r="I777" s="3">
        <f>IF(ISNUMBER(SEARCH(",",D777)),"כן","לא")</f>
      </c>
      <c r="J777" s="3">
        <f>IF(OR(ISNUMBER(SEARCH(",",D777)),ISNUMBER(SEARCH("קבוצות",G777))),"כן","לא")</f>
      </c>
    </row>
    <row r="778" spans="2:10" x14ac:dyDescent="0.25">
      <c r="B778" s="11"/>
      <c r="C778" s="11"/>
      <c r="D778" s="11"/>
      <c r="E778" s="11"/>
      <c r="F778" s="11"/>
      <c r="G778" s="11"/>
      <c r="H778" s="3">
        <f>IF(OR(F778="",F778=0),"לא","כן")</f>
      </c>
      <c r="I778" s="3">
        <f>IF(ISNUMBER(SEARCH(",",D778)),"כן","לא")</f>
      </c>
      <c r="J778" s="3">
        <f>IF(OR(ISNUMBER(SEARCH(",",D778)),ISNUMBER(SEARCH("קבוצות",G778))),"כן","לא")</f>
      </c>
    </row>
    <row r="779" spans="2:10" x14ac:dyDescent="0.25">
      <c r="B779" s="11"/>
      <c r="C779" s="11"/>
      <c r="D779" s="11"/>
      <c r="E779" s="11"/>
      <c r="F779" s="11"/>
      <c r="G779" s="11"/>
      <c r="H779" s="3">
        <f>IF(OR(F779="",F779=0),"לא","כן")</f>
      </c>
      <c r="I779" s="3">
        <f>IF(ISNUMBER(SEARCH(",",D779)),"כן","לא")</f>
      </c>
      <c r="J779" s="3">
        <f>IF(OR(ISNUMBER(SEARCH(",",D779)),ISNUMBER(SEARCH("קבוצות",G779))),"כן","לא")</f>
      </c>
    </row>
    <row r="780" spans="2:10" x14ac:dyDescent="0.25">
      <c r="B780" s="11"/>
      <c r="C780" s="11"/>
      <c r="D780" s="11"/>
      <c r="E780" s="11"/>
      <c r="F780" s="11"/>
      <c r="G780" s="11"/>
      <c r="H780" s="3">
        <f>IF(OR(F780="",F780=0),"לא","כן")</f>
      </c>
      <c r="I780" s="3">
        <f>IF(ISNUMBER(SEARCH(",",D780)),"כן","לא")</f>
      </c>
      <c r="J780" s="3">
        <f>IF(OR(ISNUMBER(SEARCH(",",D780)),ISNUMBER(SEARCH("קבוצות",G780))),"כן","לא")</f>
      </c>
    </row>
    <row r="781" spans="2:10" x14ac:dyDescent="0.25">
      <c r="B781" s="11"/>
      <c r="C781" s="11"/>
      <c r="D781" s="11"/>
      <c r="E781" s="11"/>
      <c r="F781" s="11"/>
      <c r="G781" s="11"/>
      <c r="H781" s="3">
        <f>IF(OR(F781="",F781=0),"לא","כן")</f>
      </c>
      <c r="I781" s="3">
        <f>IF(ISNUMBER(SEARCH(",",D781)),"כן","לא")</f>
      </c>
      <c r="J781" s="3">
        <f>IF(OR(ISNUMBER(SEARCH(",",D781)),ISNUMBER(SEARCH("קבוצות",G781))),"כן","לא")</f>
      </c>
    </row>
    <row r="782" spans="2:10" x14ac:dyDescent="0.25">
      <c r="B782" s="11"/>
      <c r="C782" s="11"/>
      <c r="D782" s="11"/>
      <c r="E782" s="11"/>
      <c r="F782" s="11"/>
      <c r="G782" s="11"/>
      <c r="H782" s="3">
        <f>IF(OR(F782="",F782=0),"לא","כן")</f>
      </c>
      <c r="I782" s="3">
        <f>IF(ISNUMBER(SEARCH(",",D782)),"כן","לא")</f>
      </c>
      <c r="J782" s="3">
        <f>IF(OR(ISNUMBER(SEARCH(",",D782)),ISNUMBER(SEARCH("קבוצות",G782))),"כן","לא")</f>
      </c>
    </row>
    <row r="783" spans="2:10" x14ac:dyDescent="0.25">
      <c r="B783" s="11"/>
      <c r="C783" s="11"/>
      <c r="D783" s="11"/>
      <c r="E783" s="11"/>
      <c r="F783" s="11"/>
      <c r="G783" s="11"/>
      <c r="H783" s="3">
        <f>IF(OR(F783="",F783=0),"לא","כן")</f>
      </c>
      <c r="I783" s="3">
        <f>IF(ISNUMBER(SEARCH(",",D783)),"כן","לא")</f>
      </c>
      <c r="J783" s="3">
        <f>IF(OR(ISNUMBER(SEARCH(",",D783)),ISNUMBER(SEARCH("קבוצות",G783))),"כן","לא")</f>
      </c>
    </row>
    <row r="784" spans="2:10" x14ac:dyDescent="0.25">
      <c r="B784" s="11"/>
      <c r="C784" s="11"/>
      <c r="D784" s="11"/>
      <c r="E784" s="11"/>
      <c r="F784" s="11"/>
      <c r="G784" s="11"/>
      <c r="H784" s="3">
        <f>IF(OR(F784="",F784=0),"לא","כן")</f>
      </c>
      <c r="I784" s="3">
        <f>IF(ISNUMBER(SEARCH(",",D784)),"כן","לא")</f>
      </c>
      <c r="J784" s="3">
        <f>IF(OR(ISNUMBER(SEARCH(",",D784)),ISNUMBER(SEARCH("קבוצות",G784))),"כן","לא")</f>
      </c>
    </row>
    <row r="785" spans="2:10" x14ac:dyDescent="0.25">
      <c r="B785" s="11"/>
      <c r="C785" s="11"/>
      <c r="D785" s="11"/>
      <c r="E785" s="11"/>
      <c r="F785" s="11"/>
      <c r="G785" s="11"/>
      <c r="H785" s="3">
        <f>IF(OR(F785="",F785=0),"לא","כן")</f>
      </c>
      <c r="I785" s="3">
        <f>IF(ISNUMBER(SEARCH(",",D785)),"כן","לא")</f>
      </c>
      <c r="J785" s="3">
        <f>IF(OR(ISNUMBER(SEARCH(",",D785)),ISNUMBER(SEARCH("קבוצות",G785))),"כן","לא")</f>
      </c>
    </row>
    <row r="786" spans="2:10" x14ac:dyDescent="0.25">
      <c r="B786" s="11"/>
      <c r="C786" s="11"/>
      <c r="D786" s="11"/>
      <c r="E786" s="11"/>
      <c r="F786" s="11"/>
      <c r="G786" s="11"/>
      <c r="H786" s="3">
        <f>IF(OR(F786="",F786=0),"לא","כן")</f>
      </c>
      <c r="I786" s="3">
        <f>IF(ISNUMBER(SEARCH(",",D786)),"כן","לא")</f>
      </c>
      <c r="J786" s="3">
        <f>IF(OR(ISNUMBER(SEARCH(",",D786)),ISNUMBER(SEARCH("קבוצות",G786))),"כן","לא")</f>
      </c>
    </row>
    <row r="787" spans="2:10" x14ac:dyDescent="0.25">
      <c r="B787" s="11"/>
      <c r="C787" s="11"/>
      <c r="D787" s="11"/>
      <c r="E787" s="11"/>
      <c r="F787" s="11"/>
      <c r="G787" s="11"/>
      <c r="H787" s="3">
        <f>IF(OR(F787="",F787=0),"לא","כן")</f>
      </c>
      <c r="I787" s="3">
        <f>IF(ISNUMBER(SEARCH(",",D787)),"כן","לא")</f>
      </c>
      <c r="J787" s="3">
        <f>IF(OR(ISNUMBER(SEARCH(",",D787)),ISNUMBER(SEARCH("קבוצות",G787))),"כן","לא")</f>
      </c>
    </row>
    <row r="788" spans="2:10" x14ac:dyDescent="0.25">
      <c r="B788" s="11"/>
      <c r="C788" s="11"/>
      <c r="D788" s="11"/>
      <c r="E788" s="11"/>
      <c r="F788" s="11"/>
      <c r="G788" s="11"/>
      <c r="H788" s="3">
        <f>IF(OR(F788="",F788=0),"לא","כן")</f>
      </c>
      <c r="I788" s="3">
        <f>IF(ISNUMBER(SEARCH(",",D788)),"כן","לא")</f>
      </c>
      <c r="J788" s="3">
        <f>IF(OR(ISNUMBER(SEARCH(",",D788)),ISNUMBER(SEARCH("קבוצות",G788))),"כן","לא")</f>
      </c>
    </row>
    <row r="789" spans="2:10" x14ac:dyDescent="0.25">
      <c r="B789" s="11"/>
      <c r="C789" s="11"/>
      <c r="D789" s="11"/>
      <c r="E789" s="11"/>
      <c r="F789" s="11"/>
      <c r="G789" s="11"/>
      <c r="H789" s="3">
        <f>IF(OR(F789="",F789=0),"לא","כן")</f>
      </c>
      <c r="I789" s="3">
        <f>IF(ISNUMBER(SEARCH(",",D789)),"כן","לא")</f>
      </c>
      <c r="J789" s="3">
        <f>IF(OR(ISNUMBER(SEARCH(",",D789)),ISNUMBER(SEARCH("קבוצות",G789))),"כן","לא")</f>
      </c>
    </row>
    <row r="790" spans="2:10" x14ac:dyDescent="0.25">
      <c r="B790" s="11"/>
      <c r="C790" s="11"/>
      <c r="D790" s="11"/>
      <c r="E790" s="11"/>
      <c r="F790" s="11"/>
      <c r="G790" s="11"/>
      <c r="H790" s="3">
        <f>IF(OR(F790="",F790=0),"לא","כן")</f>
      </c>
      <c r="I790" s="3">
        <f>IF(ISNUMBER(SEARCH(",",D790)),"כן","לא")</f>
      </c>
      <c r="J790" s="3">
        <f>IF(OR(ISNUMBER(SEARCH(",",D790)),ISNUMBER(SEARCH("קבוצות",G790))),"כן","לא")</f>
      </c>
    </row>
    <row r="791" spans="2:10" x14ac:dyDescent="0.25">
      <c r="B791" s="11"/>
      <c r="C791" s="11"/>
      <c r="D791" s="11"/>
      <c r="E791" s="11"/>
      <c r="F791" s="11"/>
      <c r="G791" s="11"/>
      <c r="H791" s="3">
        <f>IF(OR(F791="",F791=0),"לא","כן")</f>
      </c>
      <c r="I791" s="3">
        <f>IF(ISNUMBER(SEARCH(",",D791)),"כן","לא")</f>
      </c>
      <c r="J791" s="3">
        <f>IF(OR(ISNUMBER(SEARCH(",",D791)),ISNUMBER(SEARCH("קבוצות",G791))),"כן","לא")</f>
      </c>
    </row>
    <row r="792" spans="2:10" x14ac:dyDescent="0.25">
      <c r="B792" s="11"/>
      <c r="C792" s="11"/>
      <c r="D792" s="11"/>
      <c r="E792" s="11"/>
      <c r="F792" s="11"/>
      <c r="G792" s="11"/>
      <c r="H792" s="3">
        <f>IF(OR(F792="",F792=0),"לא","כן")</f>
      </c>
      <c r="I792" s="3">
        <f>IF(ISNUMBER(SEARCH(",",D792)),"כן","לא")</f>
      </c>
      <c r="J792" s="3">
        <f>IF(OR(ISNUMBER(SEARCH(",",D792)),ISNUMBER(SEARCH("קבוצות",G792))),"כן","לא")</f>
      </c>
    </row>
    <row r="793" spans="2:10" x14ac:dyDescent="0.25">
      <c r="B793" s="11"/>
      <c r="C793" s="11"/>
      <c r="D793" s="11"/>
      <c r="E793" s="11"/>
      <c r="F793" s="11"/>
      <c r="G793" s="11"/>
      <c r="H793" s="3">
        <f>IF(OR(F793="",F793=0),"לא","כן")</f>
      </c>
      <c r="I793" s="3">
        <f>IF(ISNUMBER(SEARCH(",",D793)),"כן","לא")</f>
      </c>
      <c r="J793" s="3">
        <f>IF(OR(ISNUMBER(SEARCH(",",D793)),ISNUMBER(SEARCH("קבוצות",G793))),"כן","לא")</f>
      </c>
    </row>
    <row r="794" spans="2:10" x14ac:dyDescent="0.25">
      <c r="B794" s="11"/>
      <c r="C794" s="11"/>
      <c r="D794" s="11"/>
      <c r="E794" s="11"/>
      <c r="F794" s="11"/>
      <c r="G794" s="11"/>
      <c r="H794" s="3">
        <f>IF(OR(F794="",F794=0),"לא","כן")</f>
      </c>
      <c r="I794" s="3">
        <f>IF(ISNUMBER(SEARCH(",",D794)),"כן","לא")</f>
      </c>
      <c r="J794" s="3">
        <f>IF(OR(ISNUMBER(SEARCH(",",D794)),ISNUMBER(SEARCH("קבוצות",G794))),"כן","לא")</f>
      </c>
    </row>
    <row r="795" spans="2:10" x14ac:dyDescent="0.25">
      <c r="B795" s="11"/>
      <c r="C795" s="11"/>
      <c r="D795" s="11"/>
      <c r="E795" s="11"/>
      <c r="F795" s="11"/>
      <c r="G795" s="11"/>
      <c r="H795" s="3">
        <f>IF(OR(F795="",F795=0),"לא","כן")</f>
      </c>
      <c r="I795" s="3">
        <f>IF(ISNUMBER(SEARCH(",",D795)),"כן","לא")</f>
      </c>
      <c r="J795" s="3">
        <f>IF(OR(ISNUMBER(SEARCH(",",D795)),ISNUMBER(SEARCH("קבוצות",G795))),"כן","לא")</f>
      </c>
    </row>
    <row r="796" spans="2:10" x14ac:dyDescent="0.25">
      <c r="B796" s="11"/>
      <c r="C796" s="11"/>
      <c r="D796" s="11"/>
      <c r="E796" s="11"/>
      <c r="F796" s="11"/>
      <c r="G796" s="11"/>
      <c r="H796" s="3">
        <f>IF(OR(F796="",F796=0),"לא","כן")</f>
      </c>
      <c r="I796" s="3">
        <f>IF(ISNUMBER(SEARCH(",",D796)),"כן","לא")</f>
      </c>
      <c r="J796" s="3">
        <f>IF(OR(ISNUMBER(SEARCH(",",D796)),ISNUMBER(SEARCH("קבוצות",G796))),"כן","לא")</f>
      </c>
    </row>
    <row r="797" spans="2:10" x14ac:dyDescent="0.25">
      <c r="B797" s="11"/>
      <c r="C797" s="11"/>
      <c r="D797" s="11"/>
      <c r="E797" s="11"/>
      <c r="F797" s="11"/>
      <c r="G797" s="11"/>
      <c r="H797" s="3">
        <f>IF(OR(F797="",F797=0),"לא","כן")</f>
      </c>
      <c r="I797" s="3">
        <f>IF(ISNUMBER(SEARCH(",",D797)),"כן","לא")</f>
      </c>
      <c r="J797" s="3">
        <f>IF(OR(ISNUMBER(SEARCH(",",D797)),ISNUMBER(SEARCH("קבוצות",G797))),"כן","לא")</f>
      </c>
    </row>
    <row r="798" spans="2:10" x14ac:dyDescent="0.25">
      <c r="B798" s="11"/>
      <c r="C798" s="11"/>
      <c r="D798" s="11"/>
      <c r="E798" s="11"/>
      <c r="F798" s="11"/>
      <c r="G798" s="11"/>
      <c r="H798" s="3">
        <f>IF(OR(F798="",F798=0),"לא","כן")</f>
      </c>
      <c r="I798" s="3">
        <f>IF(ISNUMBER(SEARCH(",",D798)),"כן","לא")</f>
      </c>
      <c r="J798" s="3">
        <f>IF(OR(ISNUMBER(SEARCH(",",D798)),ISNUMBER(SEARCH("קבוצות",G798))),"כן","לא")</f>
      </c>
    </row>
    <row r="799" spans="2:10" x14ac:dyDescent="0.25">
      <c r="B799" s="11"/>
      <c r="C799" s="11"/>
      <c r="D799" s="11"/>
      <c r="E799" s="11"/>
      <c r="F799" s="11"/>
      <c r="G799" s="11"/>
      <c r="H799" s="3">
        <f>IF(OR(F799="",F799=0),"לא","כן")</f>
      </c>
      <c r="I799" s="3">
        <f>IF(ISNUMBER(SEARCH(",",D799)),"כן","לא")</f>
      </c>
      <c r="J799" s="3">
        <f>IF(OR(ISNUMBER(SEARCH(",",D799)),ISNUMBER(SEARCH("קבוצות",G799))),"כן","לא")</f>
      </c>
    </row>
    <row r="800" spans="2:10" x14ac:dyDescent="0.25">
      <c r="B800" s="11"/>
      <c r="C800" s="11"/>
      <c r="D800" s="11"/>
      <c r="E800" s="11"/>
      <c r="F800" s="11"/>
      <c r="G800" s="11"/>
      <c r="H800" s="3">
        <f>IF(OR(F800="",F800=0),"לא","כן")</f>
      </c>
      <c r="I800" s="3">
        <f>IF(ISNUMBER(SEARCH(",",D800)),"כן","לא")</f>
      </c>
      <c r="J800" s="3">
        <f>IF(OR(ISNUMBER(SEARCH(",",D800)),ISNUMBER(SEARCH("קבוצות",G800))),"כן","לא")</f>
      </c>
    </row>
    <row r="801" spans="2:10" x14ac:dyDescent="0.25">
      <c r="B801" s="11"/>
      <c r="C801" s="11"/>
      <c r="D801" s="11"/>
      <c r="E801" s="11"/>
      <c r="F801" s="11"/>
      <c r="G801" s="11"/>
      <c r="H801" s="3">
        <f>IF(OR(F801="",F801=0),"לא","כן")</f>
      </c>
      <c r="I801" s="3">
        <f>IF(ISNUMBER(SEARCH(",",D801)),"כן","לא")</f>
      </c>
      <c r="J801" s="3">
        <f>IF(OR(ISNUMBER(SEARCH(",",D801)),ISNUMBER(SEARCH("קבוצות",G801))),"כן","לא")</f>
      </c>
    </row>
    <row r="802" spans="2:10" x14ac:dyDescent="0.25">
      <c r="B802" s="11"/>
      <c r="C802" s="11"/>
      <c r="D802" s="11"/>
      <c r="E802" s="11"/>
      <c r="F802" s="11"/>
      <c r="G802" s="11"/>
      <c r="H802" s="3">
        <f>IF(OR(F802="",F802=0),"לא","כן")</f>
      </c>
      <c r="I802" s="3">
        <f>IF(ISNUMBER(SEARCH(",",D802)),"כן","לא")</f>
      </c>
      <c r="J802" s="3">
        <f>IF(OR(ISNUMBER(SEARCH(",",D802)),ISNUMBER(SEARCH("קבוצות",G802))),"כן","לא")</f>
      </c>
    </row>
    <row r="803" spans="2:10" x14ac:dyDescent="0.25">
      <c r="B803" s="11"/>
      <c r="C803" s="11"/>
      <c r="D803" s="11"/>
      <c r="E803" s="11"/>
      <c r="F803" s="11"/>
      <c r="G803" s="11"/>
      <c r="H803" s="3">
        <f>IF(OR(F803="",F803=0),"לא","כן")</f>
      </c>
      <c r="I803" s="3">
        <f>IF(ISNUMBER(SEARCH(",",D803)),"כן","לא")</f>
      </c>
      <c r="J803" s="3">
        <f>IF(OR(ISNUMBER(SEARCH(",",D803)),ISNUMBER(SEARCH("קבוצות",G803))),"כן","לא")</f>
      </c>
    </row>
    <row r="804" spans="2:10" x14ac:dyDescent="0.25">
      <c r="B804" s="11"/>
      <c r="C804" s="11"/>
      <c r="D804" s="11"/>
      <c r="E804" s="11"/>
      <c r="F804" s="11"/>
      <c r="G804" s="11"/>
      <c r="H804" s="3">
        <f>IF(OR(F804="",F804=0),"לא","כן")</f>
      </c>
      <c r="I804" s="3">
        <f>IF(ISNUMBER(SEARCH(",",D804)),"כן","לא")</f>
      </c>
      <c r="J804" s="3">
        <f>IF(OR(ISNUMBER(SEARCH(",",D804)),ISNUMBER(SEARCH("קבוצות",G804))),"כן","לא")</f>
      </c>
    </row>
    <row r="805" spans="2:10" x14ac:dyDescent="0.25">
      <c r="B805" s="11"/>
      <c r="C805" s="11"/>
      <c r="D805" s="11"/>
      <c r="E805" s="11"/>
      <c r="F805" s="11"/>
      <c r="G805" s="11"/>
      <c r="H805" s="3">
        <f>IF(OR(F805="",F805=0),"לא","כן")</f>
      </c>
      <c r="I805" s="3">
        <f>IF(ISNUMBER(SEARCH(",",D805)),"כן","לא")</f>
      </c>
      <c r="J805" s="3">
        <f>IF(OR(ISNUMBER(SEARCH(",",D805)),ISNUMBER(SEARCH("קבוצות",G805))),"כן","לא")</f>
      </c>
    </row>
    <row r="806" spans="2:10" x14ac:dyDescent="0.25">
      <c r="B806" s="11"/>
      <c r="C806" s="11"/>
      <c r="D806" s="11"/>
      <c r="E806" s="11"/>
      <c r="F806" s="11"/>
      <c r="G806" s="11"/>
      <c r="H806" s="3">
        <f>IF(OR(F806="",F806=0),"לא","כן")</f>
      </c>
      <c r="I806" s="3">
        <f>IF(ISNUMBER(SEARCH(",",D806)),"כן","לא")</f>
      </c>
      <c r="J806" s="3">
        <f>IF(OR(ISNUMBER(SEARCH(",",D806)),ISNUMBER(SEARCH("קבוצות",G806))),"כן","לא")</f>
      </c>
    </row>
    <row r="807" spans="2:10" x14ac:dyDescent="0.25">
      <c r="B807" s="11"/>
      <c r="C807" s="11"/>
      <c r="D807" s="11"/>
      <c r="E807" s="11"/>
      <c r="F807" s="11"/>
      <c r="G807" s="11"/>
      <c r="H807" s="3">
        <f>IF(OR(F807="",F807=0),"לא","כן")</f>
      </c>
      <c r="I807" s="3">
        <f>IF(ISNUMBER(SEARCH(",",D807)),"כן","לא")</f>
      </c>
      <c r="J807" s="3">
        <f>IF(OR(ISNUMBER(SEARCH(",",D807)),ISNUMBER(SEARCH("קבוצות",G807))),"כן","לא")</f>
      </c>
    </row>
    <row r="808" spans="2:10" x14ac:dyDescent="0.25">
      <c r="B808" s="11"/>
      <c r="C808" s="11"/>
      <c r="D808" s="11"/>
      <c r="E808" s="11"/>
      <c r="F808" s="11"/>
      <c r="G808" s="11"/>
      <c r="H808" s="3">
        <f>IF(OR(F808="",F808=0),"לא","כן")</f>
      </c>
      <c r="I808" s="3">
        <f>IF(ISNUMBER(SEARCH(",",D808)),"כן","לא")</f>
      </c>
      <c r="J808" s="3">
        <f>IF(OR(ISNUMBER(SEARCH(",",D808)),ISNUMBER(SEARCH("קבוצות",G808))),"כן","לא")</f>
      </c>
    </row>
    <row r="809" spans="2:10" x14ac:dyDescent="0.25">
      <c r="B809" s="11"/>
      <c r="C809" s="11"/>
      <c r="D809" s="11"/>
      <c r="E809" s="11"/>
      <c r="F809" s="11"/>
      <c r="G809" s="11"/>
      <c r="H809" s="3">
        <f>IF(OR(F809="",F809=0),"לא","כן")</f>
      </c>
      <c r="I809" s="3">
        <f>IF(ISNUMBER(SEARCH(",",D809)),"כן","לא")</f>
      </c>
      <c r="J809" s="3">
        <f>IF(OR(ISNUMBER(SEARCH(",",D809)),ISNUMBER(SEARCH("קבוצות",G809))),"כן","לא")</f>
      </c>
    </row>
    <row r="810" spans="2:10" x14ac:dyDescent="0.25">
      <c r="B810" s="11"/>
      <c r="C810" s="11"/>
      <c r="D810" s="11"/>
      <c r="E810" s="11"/>
      <c r="F810" s="11"/>
      <c r="G810" s="11"/>
      <c r="H810" s="3">
        <f>IF(OR(F810="",F810=0),"לא","כן")</f>
      </c>
      <c r="I810" s="3">
        <f>IF(ISNUMBER(SEARCH(",",D810)),"כן","לא")</f>
      </c>
      <c r="J810" s="3">
        <f>IF(OR(ISNUMBER(SEARCH(",",D810)),ISNUMBER(SEARCH("קבוצות",G810))),"כן","לא")</f>
      </c>
    </row>
    <row r="811" spans="2:10" x14ac:dyDescent="0.25">
      <c r="B811" s="11"/>
      <c r="C811" s="11"/>
      <c r="D811" s="11"/>
      <c r="E811" s="11"/>
      <c r="F811" s="11"/>
      <c r="G811" s="11"/>
      <c r="H811" s="3">
        <f>IF(OR(F811="",F811=0),"לא","כן")</f>
      </c>
      <c r="I811" s="3">
        <f>IF(ISNUMBER(SEARCH(",",D811)),"כן","לא")</f>
      </c>
      <c r="J811" s="3">
        <f>IF(OR(ISNUMBER(SEARCH(",",D811)),ISNUMBER(SEARCH("קבוצות",G811))),"כן","לא")</f>
      </c>
    </row>
    <row r="812" spans="2:10" x14ac:dyDescent="0.25">
      <c r="B812" s="11"/>
      <c r="C812" s="11"/>
      <c r="D812" s="11"/>
      <c r="E812" s="11"/>
      <c r="F812" s="11"/>
      <c r="G812" s="11"/>
      <c r="H812" s="3">
        <f>IF(OR(F812="",F812=0),"לא","כן")</f>
      </c>
      <c r="I812" s="3">
        <f>IF(ISNUMBER(SEARCH(",",D812)),"כן","לא")</f>
      </c>
      <c r="J812" s="3">
        <f>IF(OR(ISNUMBER(SEARCH(",",D812)),ISNUMBER(SEARCH("קבוצות",G812))),"כן","לא")</f>
      </c>
    </row>
    <row r="813" spans="2:10" x14ac:dyDescent="0.25">
      <c r="B813" s="11"/>
      <c r="C813" s="11"/>
      <c r="D813" s="11"/>
      <c r="E813" s="11"/>
      <c r="F813" s="11"/>
      <c r="G813" s="11"/>
      <c r="H813" s="3">
        <f>IF(OR(F813="",F813=0),"לא","כן")</f>
      </c>
      <c r="I813" s="3">
        <f>IF(ISNUMBER(SEARCH(",",D813)),"כן","לא")</f>
      </c>
      <c r="J813" s="3">
        <f>IF(OR(ISNUMBER(SEARCH(",",D813)),ISNUMBER(SEARCH("קבוצות",G813))),"כן","לא")</f>
      </c>
    </row>
    <row r="814" spans="2:10" x14ac:dyDescent="0.25">
      <c r="B814" s="11"/>
      <c r="C814" s="11"/>
      <c r="D814" s="11"/>
      <c r="E814" s="11"/>
      <c r="F814" s="11"/>
      <c r="G814" s="11"/>
      <c r="H814" s="3">
        <f>IF(OR(F814="",F814=0),"לא","כן")</f>
      </c>
      <c r="I814" s="3">
        <f>IF(ISNUMBER(SEARCH(",",D814)),"כן","לא")</f>
      </c>
      <c r="J814" s="3">
        <f>IF(OR(ISNUMBER(SEARCH(",",D814)),ISNUMBER(SEARCH("קבוצות",G814))),"כן","לא")</f>
      </c>
    </row>
    <row r="815" spans="2:10" x14ac:dyDescent="0.25">
      <c r="B815" s="11"/>
      <c r="C815" s="11"/>
      <c r="D815" s="11"/>
      <c r="E815" s="11"/>
      <c r="F815" s="11"/>
      <c r="G815" s="11"/>
      <c r="H815" s="3">
        <f>IF(OR(F815="",F815=0),"לא","כן")</f>
      </c>
      <c r="I815" s="3">
        <f>IF(ISNUMBER(SEARCH(",",D815)),"כן","לא")</f>
      </c>
      <c r="J815" s="3">
        <f>IF(OR(ISNUMBER(SEARCH(",",D815)),ISNUMBER(SEARCH("קבוצות",G815))),"כן","לא")</f>
      </c>
    </row>
    <row r="816" spans="2:10" x14ac:dyDescent="0.25">
      <c r="B816" s="11"/>
      <c r="C816" s="11"/>
      <c r="D816" s="11"/>
      <c r="E816" s="11"/>
      <c r="F816" s="11"/>
      <c r="G816" s="11"/>
      <c r="H816" s="3">
        <f>IF(OR(F816="",F816=0),"לא","כן")</f>
      </c>
      <c r="I816" s="3">
        <f>IF(ISNUMBER(SEARCH(",",D816)),"כן","לא")</f>
      </c>
      <c r="J816" s="3">
        <f>IF(OR(ISNUMBER(SEARCH(",",D816)),ISNUMBER(SEARCH("קבוצות",G816))),"כן","לא")</f>
      </c>
    </row>
    <row r="817" spans="2:10" x14ac:dyDescent="0.25">
      <c r="B817" s="11"/>
      <c r="C817" s="11"/>
      <c r="D817" s="11"/>
      <c r="E817" s="11"/>
      <c r="F817" s="11"/>
      <c r="G817" s="11"/>
      <c r="H817" s="3">
        <f>IF(OR(F817="",F817=0),"לא","כן")</f>
      </c>
      <c r="I817" s="3">
        <f>IF(ISNUMBER(SEARCH(",",D817)),"כן","לא")</f>
      </c>
      <c r="J817" s="3">
        <f>IF(OR(ISNUMBER(SEARCH(",",D817)),ISNUMBER(SEARCH("קבוצות",G817))),"כן","לא")</f>
      </c>
    </row>
    <row r="818" spans="2:10" x14ac:dyDescent="0.25">
      <c r="B818" s="11"/>
      <c r="C818" s="11"/>
      <c r="D818" s="11"/>
      <c r="E818" s="11"/>
      <c r="F818" s="11"/>
      <c r="G818" s="11"/>
      <c r="H818" s="3">
        <f>IF(OR(F818="",F818=0),"לא","כן")</f>
      </c>
      <c r="I818" s="3">
        <f>IF(ISNUMBER(SEARCH(",",D818)),"כן","לא")</f>
      </c>
      <c r="J818" s="3">
        <f>IF(OR(ISNUMBER(SEARCH(",",D818)),ISNUMBER(SEARCH("קבוצות",G818))),"כן","לא")</f>
      </c>
    </row>
    <row r="819" spans="2:10" x14ac:dyDescent="0.25">
      <c r="B819" s="11"/>
      <c r="C819" s="11"/>
      <c r="D819" s="11"/>
      <c r="E819" s="11"/>
      <c r="F819" s="11"/>
      <c r="G819" s="11"/>
      <c r="H819" s="3">
        <f>IF(OR(F819="",F819=0),"לא","כן")</f>
      </c>
      <c r="I819" s="3">
        <f>IF(ISNUMBER(SEARCH(",",D819)),"כן","לא")</f>
      </c>
      <c r="J819" s="3">
        <f>IF(OR(ISNUMBER(SEARCH(",",D819)),ISNUMBER(SEARCH("קבוצות",G819))),"כן","לא")</f>
      </c>
    </row>
    <row r="820" spans="2:10" x14ac:dyDescent="0.25">
      <c r="B820" s="11"/>
      <c r="C820" s="11"/>
      <c r="D820" s="11"/>
      <c r="E820" s="11"/>
      <c r="F820" s="11"/>
      <c r="G820" s="11"/>
      <c r="H820" s="3">
        <f>IF(OR(F820="",F820=0),"לא","כן")</f>
      </c>
      <c r="I820" s="3">
        <f>IF(ISNUMBER(SEARCH(",",D820)),"כן","לא")</f>
      </c>
      <c r="J820" s="3">
        <f>IF(OR(ISNUMBER(SEARCH(",",D820)),ISNUMBER(SEARCH("קבוצות",G820))),"כן","לא")</f>
      </c>
    </row>
    <row r="821" spans="2:10" x14ac:dyDescent="0.25">
      <c r="B821" s="11"/>
      <c r="C821" s="11"/>
      <c r="D821" s="11"/>
      <c r="E821" s="11"/>
      <c r="F821" s="11"/>
      <c r="G821" s="11"/>
      <c r="H821" s="3">
        <f>IF(OR(F821="",F821=0),"לא","כן")</f>
      </c>
      <c r="I821" s="3">
        <f>IF(ISNUMBER(SEARCH(",",D821)),"כן","לא")</f>
      </c>
      <c r="J821" s="3">
        <f>IF(OR(ISNUMBER(SEARCH(",",D821)),ISNUMBER(SEARCH("קבוצות",G821))),"כן","לא")</f>
      </c>
    </row>
    <row r="822" spans="2:10" x14ac:dyDescent="0.25">
      <c r="B822" s="11"/>
      <c r="C822" s="11"/>
      <c r="D822" s="11"/>
      <c r="E822" s="11"/>
      <c r="F822" s="11"/>
      <c r="G822" s="11"/>
      <c r="H822" s="3">
        <f>IF(OR(F822="",F822=0),"לא","כן")</f>
      </c>
      <c r="I822" s="3">
        <f>IF(ISNUMBER(SEARCH(",",D822)),"כן","לא")</f>
      </c>
      <c r="J822" s="3">
        <f>IF(OR(ISNUMBER(SEARCH(",",D822)),ISNUMBER(SEARCH("קבוצות",G822))),"כן","לא")</f>
      </c>
    </row>
    <row r="823" spans="2:10" x14ac:dyDescent="0.25">
      <c r="B823" s="11"/>
      <c r="C823" s="11"/>
      <c r="D823" s="11"/>
      <c r="E823" s="11"/>
      <c r="F823" s="11"/>
      <c r="G823" s="11"/>
      <c r="H823" s="3">
        <f>IF(OR(F823="",F823=0),"לא","כן")</f>
      </c>
      <c r="I823" s="3">
        <f>IF(ISNUMBER(SEARCH(",",D823)),"כן","לא")</f>
      </c>
      <c r="J823" s="3">
        <f>IF(OR(ISNUMBER(SEARCH(",",D823)),ISNUMBER(SEARCH("קבוצות",G823))),"כן","לא")</f>
      </c>
    </row>
    <row r="824" spans="2:10" x14ac:dyDescent="0.25">
      <c r="B824" s="11"/>
      <c r="C824" s="11"/>
      <c r="D824" s="11"/>
      <c r="E824" s="11"/>
      <c r="F824" s="11"/>
      <c r="G824" s="11"/>
      <c r="H824" s="3">
        <f>IF(OR(F824="",F824=0),"לא","כן")</f>
      </c>
      <c r="I824" s="3">
        <f>IF(ISNUMBER(SEARCH(",",D824)),"כן","לא")</f>
      </c>
      <c r="J824" s="3">
        <f>IF(OR(ISNUMBER(SEARCH(",",D824)),ISNUMBER(SEARCH("קבוצות",G824))),"כן","לא")</f>
      </c>
    </row>
    <row r="825" spans="2:10" x14ac:dyDescent="0.25">
      <c r="B825" s="11"/>
      <c r="C825" s="11"/>
      <c r="D825" s="11"/>
      <c r="E825" s="11"/>
      <c r="F825" s="11"/>
      <c r="G825" s="11"/>
      <c r="H825" s="3">
        <f>IF(OR(F825="",F825=0),"לא","כן")</f>
      </c>
      <c r="I825" s="3">
        <f>IF(ISNUMBER(SEARCH(",",D825)),"כן","לא")</f>
      </c>
      <c r="J825" s="3">
        <f>IF(OR(ISNUMBER(SEARCH(",",D825)),ISNUMBER(SEARCH("קבוצות",G825))),"כן","לא")</f>
      </c>
    </row>
    <row r="826" spans="2:10" x14ac:dyDescent="0.25">
      <c r="B826" s="11"/>
      <c r="C826" s="11"/>
      <c r="D826" s="11"/>
      <c r="E826" s="11"/>
      <c r="F826" s="11"/>
      <c r="G826" s="11"/>
      <c r="H826" s="3">
        <f>IF(OR(F826="",F826=0),"לא","כן")</f>
      </c>
      <c r="I826" s="3">
        <f>IF(ISNUMBER(SEARCH(",",D826)),"כן","לא")</f>
      </c>
      <c r="J826" s="3">
        <f>IF(OR(ISNUMBER(SEARCH(",",D826)),ISNUMBER(SEARCH("קבוצות",G826))),"כן","לא")</f>
      </c>
    </row>
    <row r="827" spans="2:10" x14ac:dyDescent="0.25">
      <c r="B827" s="11"/>
      <c r="C827" s="11"/>
      <c r="D827" s="11"/>
      <c r="E827" s="11"/>
      <c r="F827" s="11"/>
      <c r="G827" s="11"/>
      <c r="H827" s="3">
        <f>IF(OR(F827="",F827=0),"לא","כן")</f>
      </c>
      <c r="I827" s="3">
        <f>IF(ISNUMBER(SEARCH(",",D827)),"כן","לא")</f>
      </c>
      <c r="J827" s="3">
        <f>IF(OR(ISNUMBER(SEARCH(",",D827)),ISNUMBER(SEARCH("קבוצות",G827))),"כן","לא")</f>
      </c>
    </row>
    <row r="828" spans="2:10" x14ac:dyDescent="0.25">
      <c r="B828" s="11"/>
      <c r="C828" s="11"/>
      <c r="D828" s="11"/>
      <c r="E828" s="11"/>
      <c r="F828" s="11"/>
      <c r="G828" s="11"/>
      <c r="H828" s="3">
        <f>IF(OR(F828="",F828=0),"לא","כן")</f>
      </c>
      <c r="I828" s="3">
        <f>IF(ISNUMBER(SEARCH(",",D828)),"כן","לא")</f>
      </c>
      <c r="J828" s="3">
        <f>IF(OR(ISNUMBER(SEARCH(",",D828)),ISNUMBER(SEARCH("קבוצות",G828))),"כן","לא")</f>
      </c>
    </row>
    <row r="829" spans="2:10" x14ac:dyDescent="0.25">
      <c r="B829" s="11"/>
      <c r="C829" s="11"/>
      <c r="D829" s="11"/>
      <c r="E829" s="11"/>
      <c r="F829" s="11"/>
      <c r="G829" s="11"/>
      <c r="H829" s="3">
        <f>IF(OR(F829="",F829=0),"לא","כן")</f>
      </c>
      <c r="I829" s="3">
        <f>IF(ISNUMBER(SEARCH(",",D829)),"כן","לא")</f>
      </c>
      <c r="J829" s="3">
        <f>IF(OR(ISNUMBER(SEARCH(",",D829)),ISNUMBER(SEARCH("קבוצות",G829))),"כן","לא")</f>
      </c>
    </row>
    <row r="830" spans="2:10" x14ac:dyDescent="0.25">
      <c r="B830" s="11"/>
      <c r="C830" s="11"/>
      <c r="D830" s="11"/>
      <c r="E830" s="11"/>
      <c r="F830" s="11"/>
      <c r="G830" s="11"/>
      <c r="H830" s="3">
        <f>IF(OR(F830="",F830=0),"לא","כן")</f>
      </c>
      <c r="I830" s="3">
        <f>IF(ISNUMBER(SEARCH(",",D830)),"כן","לא")</f>
      </c>
      <c r="J830" s="3">
        <f>IF(OR(ISNUMBER(SEARCH(",",D830)),ISNUMBER(SEARCH("קבוצות",G830))),"כן","לא")</f>
      </c>
    </row>
    <row r="831" spans="2:10" x14ac:dyDescent="0.25">
      <c r="B831" s="11"/>
      <c r="C831" s="11"/>
      <c r="D831" s="11"/>
      <c r="E831" s="11"/>
      <c r="F831" s="11"/>
      <c r="G831" s="11"/>
      <c r="H831" s="3">
        <f>IF(OR(F831="",F831=0),"לא","כן")</f>
      </c>
      <c r="I831" s="3">
        <f>IF(ISNUMBER(SEARCH(",",D831)),"כן","לא")</f>
      </c>
      <c r="J831" s="3">
        <f>IF(OR(ISNUMBER(SEARCH(",",D831)),ISNUMBER(SEARCH("קבוצות",G831))),"כן","לא")</f>
      </c>
    </row>
    <row r="832" spans="2:10" x14ac:dyDescent="0.25">
      <c r="B832" s="11"/>
      <c r="C832" s="11"/>
      <c r="D832" s="11"/>
      <c r="E832" s="11"/>
      <c r="F832" s="11"/>
      <c r="G832" s="11"/>
      <c r="H832" s="3">
        <f>IF(OR(F832="",F832=0),"לא","כן")</f>
      </c>
      <c r="I832" s="3">
        <f>IF(ISNUMBER(SEARCH(",",D832)),"כן","לא")</f>
      </c>
      <c r="J832" s="3">
        <f>IF(OR(ISNUMBER(SEARCH(",",D832)),ISNUMBER(SEARCH("קבוצות",G832))),"כן","לא")</f>
      </c>
    </row>
    <row r="833" spans="2:10" x14ac:dyDescent="0.25">
      <c r="B833" s="11"/>
      <c r="C833" s="11"/>
      <c r="D833" s="11"/>
      <c r="E833" s="11"/>
      <c r="F833" s="11"/>
      <c r="G833" s="11"/>
      <c r="H833" s="3">
        <f>IF(OR(F833="",F833=0),"לא","כן")</f>
      </c>
      <c r="I833" s="3">
        <f>IF(ISNUMBER(SEARCH(",",D833)),"כן","לא")</f>
      </c>
      <c r="J833" s="3">
        <f>IF(OR(ISNUMBER(SEARCH(",",D833)),ISNUMBER(SEARCH("קבוצות",G833))),"כן","לא")</f>
      </c>
    </row>
    <row r="834" spans="2:10" x14ac:dyDescent="0.25">
      <c r="B834" s="11"/>
      <c r="C834" s="11"/>
      <c r="D834" s="11"/>
      <c r="E834" s="11"/>
      <c r="F834" s="11"/>
      <c r="G834" s="11"/>
      <c r="H834" s="3">
        <f>IF(OR(F834="",F834=0),"לא","כן")</f>
      </c>
      <c r="I834" s="3">
        <f>IF(ISNUMBER(SEARCH(",",D834)),"כן","לא")</f>
      </c>
      <c r="J834" s="3">
        <f>IF(OR(ISNUMBER(SEARCH(",",D834)),ISNUMBER(SEARCH("קבוצות",G834))),"כן","לא")</f>
      </c>
    </row>
    <row r="835" spans="2:10" x14ac:dyDescent="0.25">
      <c r="B835" s="11"/>
      <c r="C835" s="11"/>
      <c r="D835" s="11"/>
      <c r="E835" s="11"/>
      <c r="F835" s="11"/>
      <c r="G835" s="11"/>
      <c r="H835" s="3">
        <f>IF(OR(F835="",F835=0),"לא","כן")</f>
      </c>
      <c r="I835" s="3">
        <f>IF(ISNUMBER(SEARCH(",",D835)),"כן","לא")</f>
      </c>
      <c r="J835" s="3">
        <f>IF(OR(ISNUMBER(SEARCH(",",D835)),ISNUMBER(SEARCH("קבוצות",G835))),"כן","לא")</f>
      </c>
    </row>
    <row r="836" spans="2:10" x14ac:dyDescent="0.25">
      <c r="B836" s="11"/>
      <c r="C836" s="11"/>
      <c r="D836" s="11"/>
      <c r="E836" s="11"/>
      <c r="F836" s="11"/>
      <c r="G836" s="11"/>
      <c r="H836" s="3">
        <f>IF(OR(F836="",F836=0),"לא","כן")</f>
      </c>
      <c r="I836" s="3">
        <f>IF(ISNUMBER(SEARCH(",",D836)),"כן","לא")</f>
      </c>
      <c r="J836" s="3">
        <f>IF(OR(ISNUMBER(SEARCH(",",D836)),ISNUMBER(SEARCH("קבוצות",G836))),"כן","לא")</f>
      </c>
    </row>
    <row r="837" spans="2:10" x14ac:dyDescent="0.25">
      <c r="B837" s="11"/>
      <c r="C837" s="11"/>
      <c r="D837" s="11"/>
      <c r="E837" s="11"/>
      <c r="F837" s="11"/>
      <c r="G837" s="11"/>
      <c r="H837" s="3">
        <f>IF(OR(F837="",F837=0),"לא","כן")</f>
      </c>
      <c r="I837" s="3">
        <f>IF(ISNUMBER(SEARCH(",",D837)),"כן","לא")</f>
      </c>
      <c r="J837" s="3">
        <f>IF(OR(ISNUMBER(SEARCH(",",D837)),ISNUMBER(SEARCH("קבוצות",G837))),"כן","לא")</f>
      </c>
    </row>
    <row r="838" spans="2:10" x14ac:dyDescent="0.25">
      <c r="B838" s="11"/>
      <c r="C838" s="11"/>
      <c r="D838" s="11"/>
      <c r="E838" s="11"/>
      <c r="F838" s="11"/>
      <c r="G838" s="11"/>
      <c r="H838" s="3">
        <f>IF(OR(F838="",F838=0),"לא","כן")</f>
      </c>
      <c r="I838" s="3">
        <f>IF(ISNUMBER(SEARCH(",",D838)),"כן","לא")</f>
      </c>
      <c r="J838" s="3">
        <f>IF(OR(ISNUMBER(SEARCH(",",D838)),ISNUMBER(SEARCH("קבוצות",G838))),"כן","לא")</f>
      </c>
    </row>
    <row r="839" spans="2:10" x14ac:dyDescent="0.25">
      <c r="B839" s="11"/>
      <c r="C839" s="11"/>
      <c r="D839" s="11"/>
      <c r="E839" s="11"/>
      <c r="F839" s="11"/>
      <c r="G839" s="11"/>
      <c r="H839" s="3">
        <f>IF(OR(F839="",F839=0),"לא","כן")</f>
      </c>
      <c r="I839" s="3">
        <f>IF(ISNUMBER(SEARCH(",",D839)),"כן","לא")</f>
      </c>
      <c r="J839" s="3">
        <f>IF(OR(ISNUMBER(SEARCH(",",D839)),ISNUMBER(SEARCH("קבוצות",G839))),"כן","לא")</f>
      </c>
    </row>
    <row r="840" spans="2:10" x14ac:dyDescent="0.25">
      <c r="B840" s="11"/>
      <c r="C840" s="11"/>
      <c r="D840" s="11"/>
      <c r="E840" s="11"/>
      <c r="F840" s="11"/>
      <c r="G840" s="11"/>
      <c r="H840" s="3">
        <f>IF(OR(F840="",F840=0),"לא","כן")</f>
      </c>
      <c r="I840" s="3">
        <f>IF(ISNUMBER(SEARCH(",",D840)),"כן","לא")</f>
      </c>
      <c r="J840" s="3">
        <f>IF(OR(ISNUMBER(SEARCH(",",D840)),ISNUMBER(SEARCH("קבוצות",G840))),"כן","לא")</f>
      </c>
    </row>
    <row r="841" spans="2:10" x14ac:dyDescent="0.25">
      <c r="B841" s="11"/>
      <c r="C841" s="11"/>
      <c r="D841" s="11"/>
      <c r="E841" s="11"/>
      <c r="F841" s="11"/>
      <c r="G841" s="11"/>
      <c r="H841" s="3">
        <f>IF(OR(F841="",F841=0),"לא","כן")</f>
      </c>
      <c r="I841" s="3">
        <f>IF(ISNUMBER(SEARCH(",",D841)),"כן","לא")</f>
      </c>
      <c r="J841" s="3">
        <f>IF(OR(ISNUMBER(SEARCH(",",D841)),ISNUMBER(SEARCH("קבוצות",G841))),"כן","לא")</f>
      </c>
    </row>
    <row r="842" spans="2:10" x14ac:dyDescent="0.25">
      <c r="B842" s="11"/>
      <c r="C842" s="11"/>
      <c r="D842" s="11"/>
      <c r="E842" s="11"/>
      <c r="F842" s="11"/>
      <c r="G842" s="11"/>
      <c r="H842" s="3">
        <f>IF(OR(F842="",F842=0),"לא","כן")</f>
      </c>
      <c r="I842" s="3">
        <f>IF(ISNUMBER(SEARCH(",",D842)),"כן","לא")</f>
      </c>
      <c r="J842" s="3">
        <f>IF(OR(ISNUMBER(SEARCH(",",D842)),ISNUMBER(SEARCH("קבוצות",G842))),"כן","לא")</f>
      </c>
    </row>
    <row r="843" spans="2:10" x14ac:dyDescent="0.25">
      <c r="B843" s="11"/>
      <c r="C843" s="11"/>
      <c r="D843" s="11"/>
      <c r="E843" s="11"/>
      <c r="F843" s="11"/>
      <c r="G843" s="11"/>
      <c r="H843" s="3">
        <f>IF(OR(F843="",F843=0),"לא","כן")</f>
      </c>
      <c r="I843" s="3">
        <f>IF(ISNUMBER(SEARCH(",",D843)),"כן","לא")</f>
      </c>
      <c r="J843" s="3">
        <f>IF(OR(ISNUMBER(SEARCH(",",D843)),ISNUMBER(SEARCH("קבוצות",G843))),"כן","לא")</f>
      </c>
    </row>
    <row r="844" spans="2:10" x14ac:dyDescent="0.25">
      <c r="B844" s="11"/>
      <c r="C844" s="11"/>
      <c r="D844" s="11"/>
      <c r="E844" s="11"/>
      <c r="F844" s="11"/>
      <c r="G844" s="11"/>
      <c r="H844" s="3">
        <f>IF(OR(F844="",F844=0),"לא","כן")</f>
      </c>
      <c r="I844" s="3">
        <f>IF(ISNUMBER(SEARCH(",",D844)),"כן","לא")</f>
      </c>
      <c r="J844" s="3">
        <f>IF(OR(ISNUMBER(SEARCH(",",D844)),ISNUMBER(SEARCH("קבוצות",G844))),"כן","לא")</f>
      </c>
    </row>
    <row r="845" spans="2:10" x14ac:dyDescent="0.25">
      <c r="B845" s="11"/>
      <c r="C845" s="11"/>
      <c r="D845" s="11"/>
      <c r="E845" s="11"/>
      <c r="F845" s="11"/>
      <c r="G845" s="11"/>
      <c r="H845" s="3">
        <f>IF(OR(F845="",F845=0),"לא","כן")</f>
      </c>
      <c r="I845" s="3">
        <f>IF(ISNUMBER(SEARCH(",",D845)),"כן","לא")</f>
      </c>
      <c r="J845" s="3">
        <f>IF(OR(ISNUMBER(SEARCH(",",D845)),ISNUMBER(SEARCH("קבוצות",G845))),"כן","לא")</f>
      </c>
    </row>
    <row r="846" spans="2:10" x14ac:dyDescent="0.25">
      <c r="B846" s="11"/>
      <c r="C846" s="11"/>
      <c r="D846" s="11"/>
      <c r="E846" s="11"/>
      <c r="F846" s="11"/>
      <c r="G846" s="11"/>
      <c r="H846" s="3">
        <f>IF(OR(F846="",F846=0),"לא","כן")</f>
      </c>
      <c r="I846" s="3">
        <f>IF(ISNUMBER(SEARCH(",",D846)),"כן","לא")</f>
      </c>
      <c r="J846" s="3">
        <f>IF(OR(ISNUMBER(SEARCH(",",D846)),ISNUMBER(SEARCH("קבוצות",G846))),"כן","לא")</f>
      </c>
    </row>
    <row r="847" spans="2:10" x14ac:dyDescent="0.25">
      <c r="B847" s="11"/>
      <c r="C847" s="11"/>
      <c r="D847" s="11"/>
      <c r="E847" s="11"/>
      <c r="F847" s="11"/>
      <c r="G847" s="11"/>
      <c r="H847" s="3">
        <f>IF(OR(F847="",F847=0),"לא","כן")</f>
      </c>
      <c r="I847" s="3">
        <f>IF(ISNUMBER(SEARCH(",",D847)),"כן","לא")</f>
      </c>
      <c r="J847" s="3">
        <f>IF(OR(ISNUMBER(SEARCH(",",D847)),ISNUMBER(SEARCH("קבוצות",G847))),"כן","לא")</f>
      </c>
    </row>
    <row r="848" spans="2:10" x14ac:dyDescent="0.25">
      <c r="B848" s="11"/>
      <c r="C848" s="11"/>
      <c r="D848" s="11"/>
      <c r="E848" s="11"/>
      <c r="F848" s="11"/>
      <c r="G848" s="11"/>
      <c r="H848" s="3">
        <f>IF(OR(F848="",F848=0),"לא","כן")</f>
      </c>
      <c r="I848" s="3">
        <f>IF(ISNUMBER(SEARCH(",",D848)),"כן","לא")</f>
      </c>
      <c r="J848" s="3">
        <f>IF(OR(ISNUMBER(SEARCH(",",D848)),ISNUMBER(SEARCH("קבוצות",G848))),"כן","לא")</f>
      </c>
    </row>
    <row r="849" spans="2:10" x14ac:dyDescent="0.25">
      <c r="B849" s="11"/>
      <c r="C849" s="11"/>
      <c r="D849" s="11"/>
      <c r="E849" s="11"/>
      <c r="F849" s="11"/>
      <c r="G849" s="11"/>
      <c r="H849" s="3">
        <f>IF(OR(F849="",F849=0),"לא","כן")</f>
      </c>
      <c r="I849" s="3">
        <f>IF(ISNUMBER(SEARCH(",",D849)),"כן","לא")</f>
      </c>
      <c r="J849" s="3">
        <f>IF(OR(ISNUMBER(SEARCH(",",D849)),ISNUMBER(SEARCH("קבוצות",G849))),"כן","לא")</f>
      </c>
    </row>
    <row r="850" spans="2:10" x14ac:dyDescent="0.25">
      <c r="B850" s="11"/>
      <c r="C850" s="11"/>
      <c r="D850" s="11"/>
      <c r="E850" s="11"/>
      <c r="F850" s="11"/>
      <c r="G850" s="11"/>
      <c r="H850" s="3">
        <f>IF(OR(F850="",F850=0),"לא","כן")</f>
      </c>
      <c r="I850" s="3">
        <f>IF(ISNUMBER(SEARCH(",",D850)),"כן","לא")</f>
      </c>
      <c r="J850" s="3">
        <f>IF(OR(ISNUMBER(SEARCH(",",D850)),ISNUMBER(SEARCH("קבוצות",G850))),"כן","לא")</f>
      </c>
    </row>
    <row r="851" spans="2:10" x14ac:dyDescent="0.25">
      <c r="B851" s="11"/>
      <c r="C851" s="11"/>
      <c r="D851" s="11"/>
      <c r="E851" s="11"/>
      <c r="F851" s="11"/>
      <c r="G851" s="11"/>
      <c r="H851" s="3">
        <f>IF(OR(F851="",F851=0),"לא","כן")</f>
      </c>
      <c r="I851" s="3">
        <f>IF(ISNUMBER(SEARCH(",",D851)),"כן","לא")</f>
      </c>
      <c r="J851" s="3">
        <f>IF(OR(ISNUMBER(SEARCH(",",D851)),ISNUMBER(SEARCH("קבוצות",G851))),"כן","לא")</f>
      </c>
    </row>
    <row r="852" spans="2:10" x14ac:dyDescent="0.25">
      <c r="B852" s="11"/>
      <c r="C852" s="11"/>
      <c r="D852" s="11"/>
      <c r="E852" s="11"/>
      <c r="F852" s="11"/>
      <c r="G852" s="11"/>
      <c r="H852" s="3">
        <f>IF(OR(F852="",F852=0),"לא","כן")</f>
      </c>
      <c r="I852" s="3">
        <f>IF(ISNUMBER(SEARCH(",",D852)),"כן","לא")</f>
      </c>
      <c r="J852" s="3">
        <f>IF(OR(ISNUMBER(SEARCH(",",D852)),ISNUMBER(SEARCH("קבוצות",G852))),"כן","לא")</f>
      </c>
    </row>
    <row r="853" spans="2:10" x14ac:dyDescent="0.25">
      <c r="B853" s="11"/>
      <c r="C853" s="11"/>
      <c r="D853" s="11"/>
      <c r="E853" s="11"/>
      <c r="F853" s="11"/>
      <c r="G853" s="11"/>
      <c r="H853" s="3">
        <f>IF(OR(F853="",F853=0),"לא","כן")</f>
      </c>
      <c r="I853" s="3">
        <f>IF(ISNUMBER(SEARCH(",",D853)),"כן","לא")</f>
      </c>
      <c r="J853" s="3">
        <f>IF(OR(ISNUMBER(SEARCH(",",D853)),ISNUMBER(SEARCH("קבוצות",G853))),"כן","לא")</f>
      </c>
    </row>
    <row r="854" spans="2:10" x14ac:dyDescent="0.25">
      <c r="B854" s="11"/>
      <c r="C854" s="11"/>
      <c r="D854" s="11"/>
      <c r="E854" s="11"/>
      <c r="F854" s="11"/>
      <c r="G854" s="11"/>
      <c r="H854" s="3">
        <f>IF(OR(F854="",F854=0),"לא","כן")</f>
      </c>
      <c r="I854" s="3">
        <f>IF(ISNUMBER(SEARCH(",",D854)),"כן","לא")</f>
      </c>
      <c r="J854" s="3">
        <f>IF(OR(ISNUMBER(SEARCH(",",D854)),ISNUMBER(SEARCH("קבוצות",G854))),"כן","לא")</f>
      </c>
    </row>
    <row r="855" spans="2:10" x14ac:dyDescent="0.25">
      <c r="B855" s="11"/>
      <c r="C855" s="11"/>
      <c r="D855" s="11"/>
      <c r="E855" s="11"/>
      <c r="F855" s="11"/>
      <c r="G855" s="11"/>
      <c r="H855" s="3">
        <f>IF(OR(F855="",F855=0),"לא","כן")</f>
      </c>
      <c r="I855" s="3">
        <f>IF(ISNUMBER(SEARCH(",",D855)),"כן","לא")</f>
      </c>
      <c r="J855" s="3">
        <f>IF(OR(ISNUMBER(SEARCH(",",D855)),ISNUMBER(SEARCH("קבוצות",G855))),"כן","לא")</f>
      </c>
    </row>
    <row r="856" spans="2:10" x14ac:dyDescent="0.25">
      <c r="B856" s="11"/>
      <c r="C856" s="11"/>
      <c r="D856" s="11"/>
      <c r="E856" s="11"/>
      <c r="F856" s="11"/>
      <c r="G856" s="11"/>
      <c r="H856" s="3">
        <f>IF(OR(F856="",F856=0),"לא","כן")</f>
      </c>
      <c r="I856" s="3">
        <f>IF(ISNUMBER(SEARCH(",",D856)),"כן","לא")</f>
      </c>
      <c r="J856" s="3">
        <f>IF(OR(ISNUMBER(SEARCH(",",D856)),ISNUMBER(SEARCH("קבוצות",G856))),"כן","לא")</f>
      </c>
    </row>
    <row r="857" spans="2:10" x14ac:dyDescent="0.25">
      <c r="B857" s="11"/>
      <c r="C857" s="11"/>
      <c r="D857" s="11"/>
      <c r="E857" s="11"/>
      <c r="F857" s="11"/>
      <c r="G857" s="11"/>
      <c r="H857" s="3">
        <f>IF(OR(F857="",F857=0),"לא","כן")</f>
      </c>
      <c r="I857" s="3">
        <f>IF(ISNUMBER(SEARCH(",",D857)),"כן","לא")</f>
      </c>
      <c r="J857" s="3">
        <f>IF(OR(ISNUMBER(SEARCH(",",D857)),ISNUMBER(SEARCH("קבוצות",G857))),"כן","לא")</f>
      </c>
    </row>
    <row r="858" spans="2:10" x14ac:dyDescent="0.25">
      <c r="B858" s="11"/>
      <c r="C858" s="11"/>
      <c r="D858" s="11"/>
      <c r="E858" s="11"/>
      <c r="F858" s="11"/>
      <c r="G858" s="11"/>
      <c r="H858" s="3">
        <f>IF(OR(F858="",F858=0),"לא","כן")</f>
      </c>
      <c r="I858" s="3">
        <f>IF(ISNUMBER(SEARCH(",",D858)),"כן","לא")</f>
      </c>
      <c r="J858" s="3">
        <f>IF(OR(ISNUMBER(SEARCH(",",D858)),ISNUMBER(SEARCH("קבוצות",G858))),"כן","לא")</f>
      </c>
    </row>
    <row r="859" spans="2:10" x14ac:dyDescent="0.25">
      <c r="B859" s="11"/>
      <c r="C859" s="11"/>
      <c r="D859" s="11"/>
      <c r="E859" s="11"/>
      <c r="F859" s="11"/>
      <c r="G859" s="11"/>
      <c r="H859" s="3">
        <f>IF(OR(F859="",F859=0),"לא","כן")</f>
      </c>
      <c r="I859" s="3">
        <f>IF(ISNUMBER(SEARCH(",",D859)),"כן","לא")</f>
      </c>
      <c r="J859" s="3">
        <f>IF(OR(ISNUMBER(SEARCH(",",D859)),ISNUMBER(SEARCH("קבוצות",G859))),"כן","לא")</f>
      </c>
    </row>
    <row r="860" spans="2:10" x14ac:dyDescent="0.25">
      <c r="B860" s="11"/>
      <c r="C860" s="11"/>
      <c r="D860" s="11"/>
      <c r="E860" s="11"/>
      <c r="F860" s="11"/>
      <c r="G860" s="11"/>
      <c r="H860" s="3">
        <f>IF(OR(F860="",F860=0),"לא","כן")</f>
      </c>
      <c r="I860" s="3">
        <f>IF(ISNUMBER(SEARCH(",",D860)),"כן","לא")</f>
      </c>
      <c r="J860" s="3">
        <f>IF(OR(ISNUMBER(SEARCH(",",D860)),ISNUMBER(SEARCH("קבוצות",G860))),"כן","לא")</f>
      </c>
    </row>
    <row r="861" spans="2:10" x14ac:dyDescent="0.25">
      <c r="B861" s="11"/>
      <c r="C861" s="11"/>
      <c r="D861" s="11"/>
      <c r="E861" s="11"/>
      <c r="F861" s="11"/>
      <c r="G861" s="11"/>
      <c r="H861" s="3">
        <f>IF(OR(F861="",F861=0),"לא","כן")</f>
      </c>
      <c r="I861" s="3">
        <f>IF(ISNUMBER(SEARCH(",",D861)),"כן","לא")</f>
      </c>
      <c r="J861" s="3">
        <f>IF(OR(ISNUMBER(SEARCH(",",D861)),ISNUMBER(SEARCH("קבוצות",G861))),"כן","לא")</f>
      </c>
    </row>
    <row r="862" spans="2:10" x14ac:dyDescent="0.25">
      <c r="B862" s="11"/>
      <c r="C862" s="11"/>
      <c r="D862" s="11"/>
      <c r="E862" s="11"/>
      <c r="F862" s="11"/>
      <c r="G862" s="11"/>
      <c r="H862" s="3">
        <f>IF(OR(F862="",F862=0),"לא","כן")</f>
      </c>
      <c r="I862" s="3">
        <f>IF(ISNUMBER(SEARCH(",",D862)),"כן","לא")</f>
      </c>
      <c r="J862" s="3">
        <f>IF(OR(ISNUMBER(SEARCH(",",D862)),ISNUMBER(SEARCH("קבוצות",G862))),"כן","לא")</f>
      </c>
    </row>
    <row r="863" spans="2:10" x14ac:dyDescent="0.25">
      <c r="B863" s="11"/>
      <c r="C863" s="11"/>
      <c r="D863" s="11"/>
      <c r="E863" s="11"/>
      <c r="F863" s="11"/>
      <c r="G863" s="11"/>
      <c r="H863" s="3">
        <f>IF(OR(F863="",F863=0),"לא","כן")</f>
      </c>
      <c r="I863" s="3">
        <f>IF(ISNUMBER(SEARCH(",",D863)),"כן","לא")</f>
      </c>
      <c r="J863" s="3">
        <f>IF(OR(ISNUMBER(SEARCH(",",D863)),ISNUMBER(SEARCH("קבוצות",G863))),"כן","לא")</f>
      </c>
    </row>
    <row r="864" spans="2:10" x14ac:dyDescent="0.25">
      <c r="B864" s="11"/>
      <c r="C864" s="11"/>
      <c r="D864" s="11"/>
      <c r="E864" s="11"/>
      <c r="F864" s="11"/>
      <c r="G864" s="11"/>
      <c r="H864" s="3">
        <f>IF(OR(F864="",F864=0),"לא","כן")</f>
      </c>
      <c r="I864" s="3">
        <f>IF(ISNUMBER(SEARCH(",",D864)),"כן","לא")</f>
      </c>
      <c r="J864" s="3">
        <f>IF(OR(ISNUMBER(SEARCH(",",D864)),ISNUMBER(SEARCH("קבוצות",G864))),"כן","לא")</f>
      </c>
    </row>
    <row r="865" spans="2:10" x14ac:dyDescent="0.25">
      <c r="B865" s="11"/>
      <c r="C865" s="11"/>
      <c r="D865" s="11"/>
      <c r="E865" s="11"/>
      <c r="F865" s="11"/>
      <c r="G865" s="11"/>
      <c r="H865" s="3">
        <f>IF(OR(F865="",F865=0),"לא","כן")</f>
      </c>
      <c r="I865" s="3">
        <f>IF(ISNUMBER(SEARCH(",",D865)),"כן","לא")</f>
      </c>
      <c r="J865" s="3">
        <f>IF(OR(ISNUMBER(SEARCH(",",D865)),ISNUMBER(SEARCH("קבוצות",G865))),"כן","לא")</f>
      </c>
    </row>
    <row r="866" spans="2:10" x14ac:dyDescent="0.25">
      <c r="B866" s="11"/>
      <c r="C866" s="11"/>
      <c r="D866" s="11"/>
      <c r="E866" s="11"/>
      <c r="F866" s="11"/>
      <c r="G866" s="11"/>
      <c r="H866" s="3">
        <f>IF(OR(F866="",F866=0),"לא","כן")</f>
      </c>
      <c r="I866" s="3">
        <f>IF(ISNUMBER(SEARCH(",",D866)),"כן","לא")</f>
      </c>
      <c r="J866" s="3">
        <f>IF(OR(ISNUMBER(SEARCH(",",D866)),ISNUMBER(SEARCH("קבוצות",G866))),"כן","לא")</f>
      </c>
    </row>
    <row r="867" spans="2:10" x14ac:dyDescent="0.25">
      <c r="B867" s="11"/>
      <c r="C867" s="11"/>
      <c r="D867" s="11"/>
      <c r="E867" s="11"/>
      <c r="F867" s="11"/>
      <c r="G867" s="11"/>
      <c r="H867" s="3">
        <f>IF(OR(F867="",F867=0),"לא","כן")</f>
      </c>
      <c r="I867" s="3">
        <f>IF(ISNUMBER(SEARCH(",",D867)),"כן","לא")</f>
      </c>
      <c r="J867" s="3">
        <f>IF(OR(ISNUMBER(SEARCH(",",D867)),ISNUMBER(SEARCH("קבוצות",G867))),"כן","לא")</f>
      </c>
    </row>
    <row r="868" spans="2:10" x14ac:dyDescent="0.25">
      <c r="B868" s="11"/>
      <c r="C868" s="11"/>
      <c r="D868" s="11"/>
      <c r="E868" s="11"/>
      <c r="F868" s="11"/>
      <c r="G868" s="11"/>
      <c r="H868" s="3">
        <f>IF(OR(F868="",F868=0),"לא","כן")</f>
      </c>
      <c r="I868" s="3">
        <f>IF(ISNUMBER(SEARCH(",",D868)),"כן","לא")</f>
      </c>
      <c r="J868" s="3">
        <f>IF(OR(ISNUMBER(SEARCH(",",D868)),ISNUMBER(SEARCH("קבוצות",G868))),"כן","לא")</f>
      </c>
    </row>
    <row r="869" spans="2:10" x14ac:dyDescent="0.25">
      <c r="B869" s="11"/>
      <c r="C869" s="11"/>
      <c r="D869" s="11"/>
      <c r="E869" s="11"/>
      <c r="F869" s="11"/>
      <c r="G869" s="11"/>
      <c r="H869" s="3">
        <f>IF(OR(F869="",F869=0),"לא","כן")</f>
      </c>
      <c r="I869" s="3">
        <f>IF(ISNUMBER(SEARCH(",",D869)),"כן","לא")</f>
      </c>
      <c r="J869" s="3">
        <f>IF(OR(ISNUMBER(SEARCH(",",D869)),ISNUMBER(SEARCH("קבוצות",G869))),"כן","לא")</f>
      </c>
    </row>
    <row r="870" spans="2:10" x14ac:dyDescent="0.25">
      <c r="B870" s="11"/>
      <c r="C870" s="11"/>
      <c r="D870" s="11"/>
      <c r="E870" s="11"/>
      <c r="F870" s="11"/>
      <c r="G870" s="11"/>
      <c r="H870" s="3">
        <f>IF(OR(F870="",F870=0),"לא","כן")</f>
      </c>
      <c r="I870" s="3">
        <f>IF(ISNUMBER(SEARCH(",",D870)),"כן","לא")</f>
      </c>
      <c r="J870" s="3">
        <f>IF(OR(ISNUMBER(SEARCH(",",D870)),ISNUMBER(SEARCH("קבוצות",G870))),"כן","לא")</f>
      </c>
    </row>
    <row r="871" spans="2:10" x14ac:dyDescent="0.25">
      <c r="B871" s="11"/>
      <c r="C871" s="11"/>
      <c r="D871" s="11"/>
      <c r="E871" s="11"/>
      <c r="F871" s="11"/>
      <c r="G871" s="11"/>
      <c r="H871" s="3">
        <f>IF(OR(F871="",F871=0),"לא","כן")</f>
      </c>
      <c r="I871" s="3">
        <f>IF(ISNUMBER(SEARCH(",",D871)),"כן","לא")</f>
      </c>
      <c r="J871" s="3">
        <f>IF(OR(ISNUMBER(SEARCH(",",D871)),ISNUMBER(SEARCH("קבוצות",G871))),"כן","לא")</f>
      </c>
    </row>
    <row r="872" spans="2:10" x14ac:dyDescent="0.25">
      <c r="B872" s="11"/>
      <c r="C872" s="11"/>
      <c r="D872" s="11"/>
      <c r="E872" s="11"/>
      <c r="F872" s="11"/>
      <c r="G872" s="11"/>
      <c r="H872" s="3">
        <f>IF(OR(F872="",F872=0),"לא","כן")</f>
      </c>
      <c r="I872" s="3">
        <f>IF(ISNUMBER(SEARCH(",",D872)),"כן","לא")</f>
      </c>
      <c r="J872" s="3">
        <f>IF(OR(ISNUMBER(SEARCH(",",D872)),ISNUMBER(SEARCH("קבוצות",G872))),"כן","לא")</f>
      </c>
    </row>
    <row r="873" spans="2:10" x14ac:dyDescent="0.25">
      <c r="B873" s="11"/>
      <c r="C873" s="11"/>
      <c r="D873" s="11"/>
      <c r="E873" s="11"/>
      <c r="F873" s="11"/>
      <c r="G873" s="11"/>
      <c r="H873" s="3">
        <f>IF(OR(F873="",F873=0),"לא","כן")</f>
      </c>
      <c r="I873" s="3">
        <f>IF(ISNUMBER(SEARCH(",",D873)),"כן","לא")</f>
      </c>
      <c r="J873" s="3">
        <f>IF(OR(ISNUMBER(SEARCH(",",D873)),ISNUMBER(SEARCH("קבוצות",G873))),"כן","לא")</f>
      </c>
    </row>
    <row r="874" spans="2:10" x14ac:dyDescent="0.25">
      <c r="B874" s="11"/>
      <c r="C874" s="11"/>
      <c r="D874" s="11"/>
      <c r="E874" s="11"/>
      <c r="F874" s="11"/>
      <c r="G874" s="11"/>
      <c r="H874" s="3">
        <f>IF(OR(F874="",F874=0),"לא","כן")</f>
      </c>
      <c r="I874" s="3">
        <f>IF(ISNUMBER(SEARCH(",",D874)),"כן","לא")</f>
      </c>
      <c r="J874" s="3">
        <f>IF(OR(ISNUMBER(SEARCH(",",D874)),ISNUMBER(SEARCH("קבוצות",G874))),"כן","לא")</f>
      </c>
    </row>
    <row r="875" spans="2:10" x14ac:dyDescent="0.25">
      <c r="B875" s="11"/>
      <c r="C875" s="11"/>
      <c r="D875" s="11"/>
      <c r="E875" s="11"/>
      <c r="F875" s="11"/>
      <c r="G875" s="11"/>
      <c r="H875" s="3">
        <f>IF(OR(F875="",F875=0),"לא","כן")</f>
      </c>
      <c r="I875" s="3">
        <f>IF(ISNUMBER(SEARCH(",",D875)),"כן","לא")</f>
      </c>
      <c r="J875" s="3">
        <f>IF(OR(ISNUMBER(SEARCH(",",D875)),ISNUMBER(SEARCH("קבוצות",G875))),"כן","לא")</f>
      </c>
    </row>
    <row r="876" spans="2:10" x14ac:dyDescent="0.25">
      <c r="B876" s="11"/>
      <c r="C876" s="11"/>
      <c r="D876" s="11"/>
      <c r="E876" s="11"/>
      <c r="F876" s="11"/>
      <c r="G876" s="11"/>
      <c r="H876" s="3">
        <f>IF(OR(F876="",F876=0),"לא","כן")</f>
      </c>
      <c r="I876" s="3">
        <f>IF(ISNUMBER(SEARCH(",",D876)),"כן","לא")</f>
      </c>
      <c r="J876" s="3">
        <f>IF(OR(ISNUMBER(SEARCH(",",D876)),ISNUMBER(SEARCH("קבוצות",G876))),"כן","לא")</f>
      </c>
    </row>
    <row r="877" spans="2:10" x14ac:dyDescent="0.25">
      <c r="B877" s="11"/>
      <c r="C877" s="11"/>
      <c r="D877" s="11"/>
      <c r="E877" s="11"/>
      <c r="F877" s="11"/>
      <c r="G877" s="11"/>
      <c r="H877" s="3">
        <f>IF(OR(F877="",F877=0),"לא","כן")</f>
      </c>
      <c r="I877" s="3">
        <f>IF(ISNUMBER(SEARCH(",",D877)),"כן","לא")</f>
      </c>
      <c r="J877" s="3">
        <f>IF(OR(ISNUMBER(SEARCH(",",D877)),ISNUMBER(SEARCH("קבוצות",G877))),"כן","לא")</f>
      </c>
    </row>
    <row r="878" spans="2:10" x14ac:dyDescent="0.25">
      <c r="B878" s="11"/>
      <c r="C878" s="11"/>
      <c r="D878" s="11"/>
      <c r="E878" s="11"/>
      <c r="F878" s="11"/>
      <c r="G878" s="11"/>
      <c r="H878" s="3">
        <f>IF(OR(F878="",F878=0),"לא","כן")</f>
      </c>
      <c r="I878" s="3">
        <f>IF(ISNUMBER(SEARCH(",",D878)),"כן","לא")</f>
      </c>
      <c r="J878" s="3">
        <f>IF(OR(ISNUMBER(SEARCH(",",D878)),ISNUMBER(SEARCH("קבוצות",G878))),"כן","לא")</f>
      </c>
    </row>
    <row r="879" spans="2:10" x14ac:dyDescent="0.25">
      <c r="B879" s="11"/>
      <c r="C879" s="11"/>
      <c r="D879" s="11"/>
      <c r="E879" s="11"/>
      <c r="F879" s="11"/>
      <c r="G879" s="11"/>
      <c r="H879" s="3">
        <f>IF(OR(F879="",F879=0),"לא","כן")</f>
      </c>
      <c r="I879" s="3">
        <f>IF(ISNUMBER(SEARCH(",",D879)),"כן","לא")</f>
      </c>
      <c r="J879" s="3">
        <f>IF(OR(ISNUMBER(SEARCH(",",D879)),ISNUMBER(SEARCH("קבוצות",G879))),"כן","לא")</f>
      </c>
    </row>
    <row r="880" spans="2:10" x14ac:dyDescent="0.25">
      <c r="B880" s="11"/>
      <c r="C880" s="11"/>
      <c r="D880" s="11"/>
      <c r="E880" s="11"/>
      <c r="F880" s="11"/>
      <c r="G880" s="11"/>
      <c r="H880" s="3">
        <f>IF(OR(F880="",F880=0),"לא","כן")</f>
      </c>
      <c r="I880" s="3">
        <f>IF(ISNUMBER(SEARCH(",",D880)),"כן","לא")</f>
      </c>
      <c r="J880" s="3">
        <f>IF(OR(ISNUMBER(SEARCH(",",D880)),ISNUMBER(SEARCH("קבוצות",G880))),"כן","לא")</f>
      </c>
    </row>
    <row r="881" spans="2:10" x14ac:dyDescent="0.25">
      <c r="B881" s="11"/>
      <c r="C881" s="11"/>
      <c r="D881" s="11"/>
      <c r="E881" s="11"/>
      <c r="F881" s="11"/>
      <c r="G881" s="11"/>
      <c r="H881" s="3">
        <f>IF(OR(F881="",F881=0),"לא","כן")</f>
      </c>
      <c r="I881" s="3">
        <f>IF(ISNUMBER(SEARCH(",",D881)),"כן","לא")</f>
      </c>
      <c r="J881" s="3">
        <f>IF(OR(ISNUMBER(SEARCH(",",D881)),ISNUMBER(SEARCH("קבוצות",G881))),"כן","לא")</f>
      </c>
    </row>
    <row r="882" spans="2:10" x14ac:dyDescent="0.25">
      <c r="B882" s="11"/>
      <c r="C882" s="11"/>
      <c r="D882" s="11"/>
      <c r="E882" s="11"/>
      <c r="F882" s="11"/>
      <c r="G882" s="11"/>
      <c r="H882" s="3">
        <f>IF(OR(F882="",F882=0),"לא","כן")</f>
      </c>
      <c r="I882" s="3">
        <f>IF(ISNUMBER(SEARCH(",",D882)),"כן","לא")</f>
      </c>
      <c r="J882" s="3">
        <f>IF(OR(ISNUMBER(SEARCH(",",D882)),ISNUMBER(SEARCH("קבוצות",G882))),"כן","לא")</f>
      </c>
    </row>
    <row r="883" spans="2:10" x14ac:dyDescent="0.25">
      <c r="B883" s="11"/>
      <c r="C883" s="11"/>
      <c r="D883" s="11"/>
      <c r="E883" s="11"/>
      <c r="F883" s="11"/>
      <c r="G883" s="11"/>
      <c r="H883" s="3">
        <f>IF(OR(F883="",F883=0),"לא","כן")</f>
      </c>
      <c r="I883" s="3">
        <f>IF(ISNUMBER(SEARCH(",",D883)),"כן","לא")</f>
      </c>
      <c r="J883" s="3">
        <f>IF(OR(ISNUMBER(SEARCH(",",D883)),ISNUMBER(SEARCH("קבוצות",G883))),"כן","לא")</f>
      </c>
    </row>
    <row r="884" spans="2:10" x14ac:dyDescent="0.25">
      <c r="B884" s="11"/>
      <c r="C884" s="11"/>
      <c r="D884" s="11"/>
      <c r="E884" s="11"/>
      <c r="F884" s="11"/>
      <c r="G884" s="11"/>
      <c r="H884" s="3">
        <f>IF(OR(F884="",F884=0),"לא","כן")</f>
      </c>
      <c r="I884" s="3">
        <f>IF(ISNUMBER(SEARCH(",",D884)),"כן","לא")</f>
      </c>
      <c r="J884" s="3">
        <f>IF(OR(ISNUMBER(SEARCH(",",D884)),ISNUMBER(SEARCH("קבוצות",G884))),"כן","לא")</f>
      </c>
    </row>
    <row r="885" spans="2:10" x14ac:dyDescent="0.25">
      <c r="B885" s="11"/>
      <c r="C885" s="11"/>
      <c r="D885" s="11"/>
      <c r="E885" s="11"/>
      <c r="F885" s="11"/>
      <c r="G885" s="11"/>
      <c r="H885" s="3">
        <f>IF(OR(F885="",F885=0),"לא","כן")</f>
      </c>
      <c r="I885" s="3">
        <f>IF(ISNUMBER(SEARCH(",",D885)),"כן","לא")</f>
      </c>
      <c r="J885" s="3">
        <f>IF(OR(ISNUMBER(SEARCH(",",D885)),ISNUMBER(SEARCH("קבוצות",G885))),"כן","לא")</f>
      </c>
    </row>
    <row r="886" spans="2:10" x14ac:dyDescent="0.25">
      <c r="B886" s="11"/>
      <c r="C886" s="11"/>
      <c r="D886" s="11"/>
      <c r="E886" s="11"/>
      <c r="F886" s="11"/>
      <c r="G886" s="11"/>
      <c r="H886" s="3">
        <f>IF(OR(F886="",F886=0),"לא","כן")</f>
      </c>
      <c r="I886" s="3">
        <f>IF(ISNUMBER(SEARCH(",",D886)),"כן","לא")</f>
      </c>
      <c r="J886" s="3">
        <f>IF(OR(ISNUMBER(SEARCH(",",D886)),ISNUMBER(SEARCH("קבוצות",G886))),"כן","לא")</f>
      </c>
    </row>
    <row r="887" spans="2:10" x14ac:dyDescent="0.25">
      <c r="B887" s="11"/>
      <c r="C887" s="11"/>
      <c r="D887" s="11"/>
      <c r="E887" s="11"/>
      <c r="F887" s="11"/>
      <c r="G887" s="11"/>
      <c r="H887" s="3">
        <f>IF(OR(F887="",F887=0),"לא","כן")</f>
      </c>
      <c r="I887" s="3">
        <f>IF(ISNUMBER(SEARCH(",",D887)),"כן","לא")</f>
      </c>
      <c r="J887" s="3">
        <f>IF(OR(ISNUMBER(SEARCH(",",D887)),ISNUMBER(SEARCH("קבוצות",G887))),"כן","לא")</f>
      </c>
    </row>
    <row r="888" spans="2:10" x14ac:dyDescent="0.25">
      <c r="B888" s="11"/>
      <c r="C888" s="11"/>
      <c r="D888" s="11"/>
      <c r="E888" s="11"/>
      <c r="F888" s="11"/>
      <c r="G888" s="11"/>
      <c r="H888" s="3">
        <f>IF(OR(F888="",F888=0),"לא","כן")</f>
      </c>
      <c r="I888" s="3">
        <f>IF(ISNUMBER(SEARCH(",",D888)),"כן","לא")</f>
      </c>
      <c r="J888" s="3">
        <f>IF(OR(ISNUMBER(SEARCH(",",D888)),ISNUMBER(SEARCH("קבוצות",G888))),"כן","לא")</f>
      </c>
    </row>
    <row r="889" spans="2:10" x14ac:dyDescent="0.25">
      <c r="B889" s="11"/>
      <c r="C889" s="11"/>
      <c r="D889" s="11"/>
      <c r="E889" s="11"/>
      <c r="F889" s="11"/>
      <c r="G889" s="11"/>
      <c r="H889" s="3">
        <f>IF(OR(F889="",F889=0),"לא","כן")</f>
      </c>
      <c r="I889" s="3">
        <f>IF(ISNUMBER(SEARCH(",",D889)),"כן","לא")</f>
      </c>
      <c r="J889" s="3">
        <f>IF(OR(ISNUMBER(SEARCH(",",D889)),ISNUMBER(SEARCH("קבוצות",G889))),"כן","לא")</f>
      </c>
    </row>
    <row r="890" spans="2:10" x14ac:dyDescent="0.25">
      <c r="B890" s="11"/>
      <c r="C890" s="11"/>
      <c r="D890" s="11"/>
      <c r="E890" s="11"/>
      <c r="F890" s="11"/>
      <c r="G890" s="11"/>
      <c r="H890" s="3">
        <f>IF(OR(F890="",F890=0),"לא","כן")</f>
      </c>
      <c r="I890" s="3">
        <f>IF(ISNUMBER(SEARCH(",",D890)),"כן","לא")</f>
      </c>
      <c r="J890" s="3">
        <f>IF(OR(ISNUMBER(SEARCH(",",D890)),ISNUMBER(SEARCH("קבוצות",G890))),"כן","לא")</f>
      </c>
    </row>
    <row r="891" spans="2:10" x14ac:dyDescent="0.25">
      <c r="B891" s="11"/>
      <c r="C891" s="11"/>
      <c r="D891" s="11"/>
      <c r="E891" s="11"/>
      <c r="F891" s="11"/>
      <c r="G891" s="11"/>
      <c r="H891" s="3">
        <f>IF(OR(F891="",F891=0),"לא","כן")</f>
      </c>
      <c r="I891" s="3">
        <f>IF(ISNUMBER(SEARCH(",",D891)),"כן","לא")</f>
      </c>
      <c r="J891" s="3">
        <f>IF(OR(ISNUMBER(SEARCH(",",D891)),ISNUMBER(SEARCH("קבוצות",G891))),"כן","לא")</f>
      </c>
    </row>
    <row r="892" spans="2:10" x14ac:dyDescent="0.25">
      <c r="B892" s="11"/>
      <c r="C892" s="11"/>
      <c r="D892" s="11"/>
      <c r="E892" s="11"/>
      <c r="F892" s="11"/>
      <c r="G892" s="11"/>
      <c r="H892" s="3">
        <f>IF(OR(F892="",F892=0),"לא","כן")</f>
      </c>
      <c r="I892" s="3">
        <f>IF(ISNUMBER(SEARCH(",",D892)),"כן","לא")</f>
      </c>
      <c r="J892" s="3">
        <f>IF(OR(ISNUMBER(SEARCH(",",D892)),ISNUMBER(SEARCH("קבוצות",G892))),"כן","לא")</f>
      </c>
    </row>
    <row r="893" spans="2:10" x14ac:dyDescent="0.25">
      <c r="B893" s="11"/>
      <c r="C893" s="11"/>
      <c r="D893" s="11"/>
      <c r="E893" s="11"/>
      <c r="F893" s="11"/>
      <c r="G893" s="11"/>
      <c r="H893" s="3">
        <f>IF(OR(F893="",F893=0),"לא","כן")</f>
      </c>
      <c r="I893" s="3">
        <f>IF(ISNUMBER(SEARCH(",",D893)),"כן","לא")</f>
      </c>
      <c r="J893" s="3">
        <f>IF(OR(ISNUMBER(SEARCH(",",D893)),ISNUMBER(SEARCH("קבוצות",G893))),"כן","לא")</f>
      </c>
    </row>
    <row r="894" spans="2:10" x14ac:dyDescent="0.25">
      <c r="B894" s="11"/>
      <c r="C894" s="11"/>
      <c r="D894" s="11"/>
      <c r="E894" s="11"/>
      <c r="F894" s="11"/>
      <c r="G894" s="11"/>
      <c r="H894" s="3">
        <f>IF(OR(F894="",F894=0),"לא","כן")</f>
      </c>
      <c r="I894" s="3">
        <f>IF(ISNUMBER(SEARCH(",",D894)),"כן","לא")</f>
      </c>
      <c r="J894" s="3">
        <f>IF(OR(ISNUMBER(SEARCH(",",D894)),ISNUMBER(SEARCH("קבוצות",G894))),"כן","לא")</f>
      </c>
    </row>
    <row r="895" spans="2:10" x14ac:dyDescent="0.25">
      <c r="B895" s="11"/>
      <c r="C895" s="11"/>
      <c r="D895" s="11"/>
      <c r="E895" s="11"/>
      <c r="F895" s="11"/>
      <c r="G895" s="11"/>
      <c r="H895" s="3">
        <f>IF(OR(F895="",F895=0),"לא","כן")</f>
      </c>
      <c r="I895" s="3">
        <f>IF(ISNUMBER(SEARCH(",",D895)),"כן","לא")</f>
      </c>
      <c r="J895" s="3">
        <f>IF(OR(ISNUMBER(SEARCH(",",D895)),ISNUMBER(SEARCH("קבוצות",G895))),"כן","לא")</f>
      </c>
    </row>
    <row r="896" spans="2:10" x14ac:dyDescent="0.25">
      <c r="B896" s="11"/>
      <c r="C896" s="11"/>
      <c r="D896" s="11"/>
      <c r="E896" s="11"/>
      <c r="F896" s="11"/>
      <c r="G896" s="11"/>
      <c r="H896" s="3">
        <f>IF(OR(F896="",F896=0),"לא","כן")</f>
      </c>
      <c r="I896" s="3">
        <f>IF(ISNUMBER(SEARCH(",",D896)),"כן","לא")</f>
      </c>
      <c r="J896" s="3">
        <f>IF(OR(ISNUMBER(SEARCH(",",D896)),ISNUMBER(SEARCH("קבוצות",G896))),"כן","לא")</f>
      </c>
    </row>
    <row r="897" spans="2:10" x14ac:dyDescent="0.25">
      <c r="B897" s="11"/>
      <c r="C897" s="11"/>
      <c r="D897" s="11"/>
      <c r="E897" s="11"/>
      <c r="F897" s="11"/>
      <c r="G897" s="11"/>
      <c r="H897" s="3">
        <f>IF(OR(F897="",F897=0),"לא","כן")</f>
      </c>
      <c r="I897" s="3">
        <f>IF(ISNUMBER(SEARCH(",",D897)),"כן","לא")</f>
      </c>
      <c r="J897" s="3">
        <f>IF(OR(ISNUMBER(SEARCH(",",D897)),ISNUMBER(SEARCH("קבוצות",G897))),"כן","לא")</f>
      </c>
    </row>
    <row r="898" spans="2:10" x14ac:dyDescent="0.25">
      <c r="B898" s="11"/>
      <c r="C898" s="11"/>
      <c r="D898" s="11"/>
      <c r="E898" s="11"/>
      <c r="F898" s="11"/>
      <c r="G898" s="11"/>
      <c r="H898" s="3">
        <f>IF(OR(F898="",F898=0),"לא","כן")</f>
      </c>
      <c r="I898" s="3">
        <f>IF(ISNUMBER(SEARCH(",",D898)),"כן","לא")</f>
      </c>
      <c r="J898" s="3">
        <f>IF(OR(ISNUMBER(SEARCH(",",D898)),ISNUMBER(SEARCH("קבוצות",G898))),"כן","לא")</f>
      </c>
    </row>
    <row r="899" spans="2:10" x14ac:dyDescent="0.25">
      <c r="B899" s="11"/>
      <c r="C899" s="11"/>
      <c r="D899" s="11"/>
      <c r="E899" s="11"/>
      <c r="F899" s="11"/>
      <c r="G899" s="11"/>
      <c r="H899" s="3">
        <f>IF(OR(F899="",F899=0),"לא","כן")</f>
      </c>
      <c r="I899" s="3">
        <f>IF(ISNUMBER(SEARCH(",",D899)),"כן","לא")</f>
      </c>
      <c r="J899" s="3">
        <f>IF(OR(ISNUMBER(SEARCH(",",D899)),ISNUMBER(SEARCH("קבוצות",G899))),"כן","לא")</f>
      </c>
    </row>
    <row r="900" spans="2:10" x14ac:dyDescent="0.25">
      <c r="B900" s="11"/>
      <c r="C900" s="11"/>
      <c r="D900" s="11"/>
      <c r="E900" s="11"/>
      <c r="F900" s="11"/>
      <c r="G900" s="11"/>
      <c r="H900" s="3">
        <f>IF(OR(F900="",F900=0),"לא","כן")</f>
      </c>
      <c r="I900" s="3">
        <f>IF(ISNUMBER(SEARCH(",",D900)),"כן","לא")</f>
      </c>
      <c r="J900" s="3">
        <f>IF(OR(ISNUMBER(SEARCH(",",D900)),ISNUMBER(SEARCH("קבוצות",G900))),"כן","לא")</f>
      </c>
    </row>
    <row r="901" spans="2:10" x14ac:dyDescent="0.25">
      <c r="B901" s="11"/>
      <c r="C901" s="11"/>
      <c r="D901" s="11"/>
      <c r="E901" s="11"/>
      <c r="F901" s="11"/>
      <c r="G901" s="11"/>
      <c r="H901" s="3">
        <f>IF(OR(F901="",F901=0),"לא","כן")</f>
      </c>
      <c r="I901" s="3">
        <f>IF(ISNUMBER(SEARCH(",",D901)),"כן","לא")</f>
      </c>
      <c r="J901" s="3">
        <f>IF(OR(ISNUMBER(SEARCH(",",D901)),ISNUMBER(SEARCH("קבוצות",G901))),"כן","לא")</f>
      </c>
    </row>
    <row r="902" spans="2:10" x14ac:dyDescent="0.25">
      <c r="B902" s="11"/>
      <c r="C902" s="11"/>
      <c r="D902" s="11"/>
      <c r="E902" s="11"/>
      <c r="F902" s="11"/>
      <c r="G902" s="11"/>
      <c r="H902" s="3">
        <f>IF(OR(F902="",F902=0),"לא","כן")</f>
      </c>
      <c r="I902" s="3">
        <f>IF(ISNUMBER(SEARCH(",",D902)),"כן","לא")</f>
      </c>
      <c r="J902" s="3">
        <f>IF(OR(ISNUMBER(SEARCH(",",D902)),ISNUMBER(SEARCH("קבוצות",G902))),"כן","לא")</f>
      </c>
    </row>
    <row r="903" spans="2:10" x14ac:dyDescent="0.25">
      <c r="B903" s="11"/>
      <c r="C903" s="11"/>
      <c r="D903" s="11"/>
      <c r="E903" s="11"/>
      <c r="F903" s="11"/>
      <c r="G903" s="11"/>
      <c r="H903" s="3">
        <f>IF(OR(F903="",F903=0),"לא","כן")</f>
      </c>
      <c r="I903" s="3">
        <f>IF(ISNUMBER(SEARCH(",",D903)),"כן","לא")</f>
      </c>
      <c r="J903" s="3">
        <f>IF(OR(ISNUMBER(SEARCH(",",D903)),ISNUMBER(SEARCH("קבוצות",G903))),"כן","לא")</f>
      </c>
    </row>
    <row r="904" spans="2:10" x14ac:dyDescent="0.25">
      <c r="B904" s="11"/>
      <c r="C904" s="11"/>
      <c r="D904" s="11"/>
      <c r="E904" s="11"/>
      <c r="F904" s="11"/>
      <c r="G904" s="11"/>
      <c r="H904" s="3">
        <f>IF(OR(F904="",F904=0),"לא","כן")</f>
      </c>
      <c r="I904" s="3">
        <f>IF(ISNUMBER(SEARCH(",",D904)),"כן","לא")</f>
      </c>
      <c r="J904" s="3">
        <f>IF(OR(ISNUMBER(SEARCH(",",D904)),ISNUMBER(SEARCH("קבוצות",G904))),"כן","לא")</f>
      </c>
    </row>
    <row r="905" spans="2:10" x14ac:dyDescent="0.25">
      <c r="B905" s="11"/>
      <c r="C905" s="11"/>
      <c r="D905" s="11"/>
      <c r="E905" s="11"/>
      <c r="F905" s="11"/>
      <c r="G905" s="11"/>
      <c r="H905" s="3">
        <f>IF(OR(F905="",F905=0),"לא","כן")</f>
      </c>
      <c r="I905" s="3">
        <f>IF(ISNUMBER(SEARCH(",",D905)),"כן","לא")</f>
      </c>
      <c r="J905" s="3">
        <f>IF(OR(ISNUMBER(SEARCH(",",D905)),ISNUMBER(SEARCH("קבוצות",G905))),"כן","לא")</f>
      </c>
    </row>
    <row r="906" spans="2:10" x14ac:dyDescent="0.25">
      <c r="B906" s="11"/>
      <c r="C906" s="11"/>
      <c r="D906" s="11"/>
      <c r="E906" s="11"/>
      <c r="F906" s="11"/>
      <c r="G906" s="11"/>
      <c r="H906" s="3">
        <f>IF(OR(F906="",F906=0),"לא","כן")</f>
      </c>
      <c r="I906" s="3">
        <f>IF(ISNUMBER(SEARCH(",",D906)),"כן","לא")</f>
      </c>
      <c r="J906" s="3">
        <f>IF(OR(ISNUMBER(SEARCH(",",D906)),ISNUMBER(SEARCH("קבוצות",G906))),"כן","לא")</f>
      </c>
    </row>
    <row r="907" spans="2:10" x14ac:dyDescent="0.25">
      <c r="B907" s="11"/>
      <c r="C907" s="11"/>
      <c r="D907" s="11"/>
      <c r="E907" s="11"/>
      <c r="F907" s="11"/>
      <c r="G907" s="11"/>
      <c r="H907" s="3">
        <f>IF(OR(F907="",F907=0),"לא","כן")</f>
      </c>
      <c r="I907" s="3">
        <f>IF(ISNUMBER(SEARCH(",",D907)),"כן","לא")</f>
      </c>
      <c r="J907" s="3">
        <f>IF(OR(ISNUMBER(SEARCH(",",D907)),ISNUMBER(SEARCH("קבוצות",G907))),"כן","לא")</f>
      </c>
    </row>
    <row r="908" spans="2:10" x14ac:dyDescent="0.25">
      <c r="B908" s="11"/>
      <c r="C908" s="11"/>
      <c r="D908" s="11"/>
      <c r="E908" s="11"/>
      <c r="F908" s="11"/>
      <c r="G908" s="11"/>
      <c r="H908" s="3">
        <f>IF(OR(F908="",F908=0),"לא","כן")</f>
      </c>
      <c r="I908" s="3">
        <f>IF(ISNUMBER(SEARCH(",",D908)),"כן","לא")</f>
      </c>
      <c r="J908" s="3">
        <f>IF(OR(ISNUMBER(SEARCH(",",D908)),ISNUMBER(SEARCH("קבוצות",G908))),"כן","לא")</f>
      </c>
    </row>
    <row r="909" spans="2:10" x14ac:dyDescent="0.25">
      <c r="B909" s="11"/>
      <c r="C909" s="11"/>
      <c r="D909" s="11"/>
      <c r="E909" s="11"/>
      <c r="F909" s="11"/>
      <c r="G909" s="11"/>
      <c r="H909" s="3">
        <f>IF(OR(F909="",F909=0),"לא","כן")</f>
      </c>
      <c r="I909" s="3">
        <f>IF(ISNUMBER(SEARCH(",",D909)),"כן","לא")</f>
      </c>
      <c r="J909" s="3">
        <f>IF(OR(ISNUMBER(SEARCH(",",D909)),ISNUMBER(SEARCH("קבוצות",G909))),"כן","לא")</f>
      </c>
    </row>
    <row r="910" spans="2:10" x14ac:dyDescent="0.25">
      <c r="B910" s="11"/>
      <c r="C910" s="11"/>
      <c r="D910" s="11"/>
      <c r="E910" s="11"/>
      <c r="F910" s="11"/>
      <c r="G910" s="11"/>
      <c r="H910" s="3">
        <f>IF(OR(F910="",F910=0),"לא","כן")</f>
      </c>
      <c r="I910" s="3">
        <f>IF(ISNUMBER(SEARCH(",",D910)),"כן","לא")</f>
      </c>
      <c r="J910" s="3">
        <f>IF(OR(ISNUMBER(SEARCH(",",D910)),ISNUMBER(SEARCH("קבוצות",G910))),"כן","לא")</f>
      </c>
    </row>
    <row r="911" spans="2:10" x14ac:dyDescent="0.25">
      <c r="B911" s="11"/>
      <c r="C911" s="11"/>
      <c r="D911" s="11"/>
      <c r="E911" s="11"/>
      <c r="F911" s="11"/>
      <c r="G911" s="11"/>
      <c r="H911" s="3">
        <f>IF(OR(F911="",F911=0),"לא","כן")</f>
      </c>
      <c r="I911" s="3">
        <f>IF(ISNUMBER(SEARCH(",",D911)),"כן","לא")</f>
      </c>
      <c r="J911" s="3">
        <f>IF(OR(ISNUMBER(SEARCH(",",D911)),ISNUMBER(SEARCH("קבוצות",G911))),"כן","לא")</f>
      </c>
    </row>
    <row r="912" spans="2:10" x14ac:dyDescent="0.25">
      <c r="B912" s="11"/>
      <c r="C912" s="11"/>
      <c r="D912" s="11"/>
      <c r="E912" s="11"/>
      <c r="F912" s="11"/>
      <c r="G912" s="11"/>
      <c r="H912" s="3">
        <f>IF(OR(F912="",F912=0),"לא","כן")</f>
      </c>
      <c r="I912" s="3">
        <f>IF(ISNUMBER(SEARCH(",",D912)),"כן","לא")</f>
      </c>
      <c r="J912" s="3">
        <f>IF(OR(ISNUMBER(SEARCH(",",D912)),ISNUMBER(SEARCH("קבוצות",G912))),"כן","לא")</f>
      </c>
    </row>
    <row r="913" spans="2:10" x14ac:dyDescent="0.25">
      <c r="B913" s="11"/>
      <c r="C913" s="11"/>
      <c r="D913" s="11"/>
      <c r="E913" s="11"/>
      <c r="F913" s="11"/>
      <c r="G913" s="11"/>
      <c r="H913" s="3">
        <f>IF(OR(F913="",F913=0),"לא","כן")</f>
      </c>
      <c r="I913" s="3">
        <f>IF(ISNUMBER(SEARCH(",",D913)),"כן","לא")</f>
      </c>
      <c r="J913" s="3">
        <f>IF(OR(ISNUMBER(SEARCH(",",D913)),ISNUMBER(SEARCH("קבוצות",G913))),"כן","לא")</f>
      </c>
    </row>
    <row r="914" spans="2:10" x14ac:dyDescent="0.25">
      <c r="B914" s="11"/>
      <c r="C914" s="11"/>
      <c r="D914" s="11"/>
      <c r="E914" s="11"/>
      <c r="F914" s="11"/>
      <c r="G914" s="11"/>
      <c r="H914" s="3">
        <f>IF(OR(F914="",F914=0),"לא","כן")</f>
      </c>
      <c r="I914" s="3">
        <f>IF(ISNUMBER(SEARCH(",",D914)),"כן","לא")</f>
      </c>
      <c r="J914" s="3">
        <f>IF(OR(ISNUMBER(SEARCH(",",D914)),ISNUMBER(SEARCH("קבוצות",G914))),"כן","לא")</f>
      </c>
    </row>
    <row r="915" spans="2:10" x14ac:dyDescent="0.25">
      <c r="B915" s="11"/>
      <c r="C915" s="11"/>
      <c r="D915" s="11"/>
      <c r="E915" s="11"/>
      <c r="F915" s="11"/>
      <c r="G915" s="11"/>
      <c r="H915" s="3">
        <f>IF(OR(F915="",F915=0),"לא","כן")</f>
      </c>
      <c r="I915" s="3">
        <f>IF(ISNUMBER(SEARCH(",",D915)),"כן","לא")</f>
      </c>
      <c r="J915" s="3">
        <f>IF(OR(ISNUMBER(SEARCH(",",D915)),ISNUMBER(SEARCH("קבוצות",G915))),"כן","לא")</f>
      </c>
    </row>
    <row r="916" spans="2:10" x14ac:dyDescent="0.25">
      <c r="B916" s="11"/>
      <c r="C916" s="11"/>
      <c r="D916" s="11"/>
      <c r="E916" s="11"/>
      <c r="F916" s="11"/>
      <c r="G916" s="11"/>
      <c r="H916" s="3">
        <f>IF(OR(F916="",F916=0),"לא","כן")</f>
      </c>
      <c r="I916" s="3">
        <f>IF(ISNUMBER(SEARCH(",",D916)),"כן","לא")</f>
      </c>
      <c r="J916" s="3">
        <f>IF(OR(ISNUMBER(SEARCH(",",D916)),ISNUMBER(SEARCH("קבוצות",G916))),"כן","לא")</f>
      </c>
    </row>
    <row r="917" spans="2:10" x14ac:dyDescent="0.25">
      <c r="B917" s="11"/>
      <c r="C917" s="11"/>
      <c r="D917" s="11"/>
      <c r="E917" s="11"/>
      <c r="F917" s="11"/>
      <c r="G917" s="11"/>
      <c r="H917" s="3">
        <f>IF(OR(F917="",F917=0),"לא","כן")</f>
      </c>
      <c r="I917" s="3">
        <f>IF(ISNUMBER(SEARCH(",",D917)),"כן","לא")</f>
      </c>
      <c r="J917" s="3">
        <f>IF(OR(ISNUMBER(SEARCH(",",D917)),ISNUMBER(SEARCH("קבוצות",G917))),"כן","לא")</f>
      </c>
    </row>
    <row r="918" spans="2:10" x14ac:dyDescent="0.25">
      <c r="B918" s="11"/>
      <c r="C918" s="11"/>
      <c r="D918" s="11"/>
      <c r="E918" s="11"/>
      <c r="F918" s="11"/>
      <c r="G918" s="11"/>
      <c r="H918" s="3">
        <f>IF(OR(F918="",F918=0),"לא","כן")</f>
      </c>
      <c r="I918" s="3">
        <f>IF(ISNUMBER(SEARCH(",",D918)),"כן","לא")</f>
      </c>
      <c r="J918" s="3">
        <f>IF(OR(ISNUMBER(SEARCH(",",D918)),ISNUMBER(SEARCH("קבוצות",G918))),"כן","לא")</f>
      </c>
    </row>
    <row r="919" spans="2:10" x14ac:dyDescent="0.25">
      <c r="B919" s="11"/>
      <c r="C919" s="11"/>
      <c r="D919" s="11"/>
      <c r="E919" s="11"/>
      <c r="F919" s="11"/>
      <c r="G919" s="11"/>
      <c r="H919" s="3">
        <f>IF(OR(F919="",F919=0),"לא","כן")</f>
      </c>
      <c r="I919" s="3">
        <f>IF(ISNUMBER(SEARCH(",",D919)),"כן","לא")</f>
      </c>
      <c r="J919" s="3">
        <f>IF(OR(ISNUMBER(SEARCH(",",D919)),ISNUMBER(SEARCH("קבוצות",G919))),"כן","לא")</f>
      </c>
    </row>
    <row r="920" spans="2:10" x14ac:dyDescent="0.25">
      <c r="B920" s="11"/>
      <c r="C920" s="11"/>
      <c r="D920" s="11"/>
      <c r="E920" s="11"/>
      <c r="F920" s="11"/>
      <c r="G920" s="11"/>
      <c r="H920" s="3">
        <f>IF(OR(F920="",F920=0),"לא","כן")</f>
      </c>
      <c r="I920" s="3">
        <f>IF(ISNUMBER(SEARCH(",",D920)),"כן","לא")</f>
      </c>
      <c r="J920" s="3">
        <f>IF(OR(ISNUMBER(SEARCH(",",D920)),ISNUMBER(SEARCH("קבוצות",G920))),"כן","לא")</f>
      </c>
    </row>
    <row r="921" spans="2:10" x14ac:dyDescent="0.25">
      <c r="B921" s="11"/>
      <c r="C921" s="11"/>
      <c r="D921" s="11"/>
      <c r="E921" s="11"/>
      <c r="F921" s="11"/>
      <c r="G921" s="11"/>
      <c r="H921" s="3">
        <f>IF(OR(F921="",F921=0),"לא","כן")</f>
      </c>
      <c r="I921" s="3">
        <f>IF(ISNUMBER(SEARCH(",",D921)),"כן","לא")</f>
      </c>
      <c r="J921" s="3">
        <f>IF(OR(ISNUMBER(SEARCH(",",D921)),ISNUMBER(SEARCH("קבוצות",G921))),"כן","לא")</f>
      </c>
    </row>
    <row r="922" spans="2:10" x14ac:dyDescent="0.25">
      <c r="B922" s="11"/>
      <c r="C922" s="11"/>
      <c r="D922" s="11"/>
      <c r="E922" s="11"/>
      <c r="F922" s="11"/>
      <c r="G922" s="11"/>
      <c r="H922" s="3">
        <f>IF(OR(F922="",F922=0),"לא","כן")</f>
      </c>
      <c r="I922" s="3">
        <f>IF(ISNUMBER(SEARCH(",",D922)),"כן","לא")</f>
      </c>
      <c r="J922" s="3">
        <f>IF(OR(ISNUMBER(SEARCH(",",D922)),ISNUMBER(SEARCH("קבוצות",G922))),"כן","לא")</f>
      </c>
    </row>
    <row r="923" spans="2:10" x14ac:dyDescent="0.25">
      <c r="B923" s="11"/>
      <c r="C923" s="11"/>
      <c r="D923" s="11"/>
      <c r="E923" s="11"/>
      <c r="F923" s="11"/>
      <c r="G923" s="11"/>
      <c r="H923" s="3">
        <f>IF(OR(F923="",F923=0),"לא","כן")</f>
      </c>
      <c r="I923" s="3">
        <f>IF(ISNUMBER(SEARCH(",",D923)),"כן","לא")</f>
      </c>
      <c r="J923" s="3">
        <f>IF(OR(ISNUMBER(SEARCH(",",D923)),ISNUMBER(SEARCH("קבוצות",G923))),"כן","לא")</f>
      </c>
    </row>
    <row r="924" spans="2:10" x14ac:dyDescent="0.25">
      <c r="B924" s="11"/>
      <c r="C924" s="11"/>
      <c r="D924" s="11"/>
      <c r="E924" s="11"/>
      <c r="F924" s="11"/>
      <c r="G924" s="11"/>
      <c r="H924" s="3">
        <f>IF(OR(F924="",F924=0),"לא","כן")</f>
      </c>
      <c r="I924" s="3">
        <f>IF(ISNUMBER(SEARCH(",",D924)),"כן","לא")</f>
      </c>
      <c r="J924" s="3">
        <f>IF(OR(ISNUMBER(SEARCH(",",D924)),ISNUMBER(SEARCH("קבוצות",G924))),"כן","לא")</f>
      </c>
    </row>
    <row r="925" spans="2:10" x14ac:dyDescent="0.25">
      <c r="B925" s="11"/>
      <c r="C925" s="11"/>
      <c r="D925" s="11"/>
      <c r="E925" s="11"/>
      <c r="F925" s="11"/>
      <c r="G925" s="11"/>
      <c r="H925" s="3">
        <f>IF(OR(F925="",F925=0),"לא","כן")</f>
      </c>
      <c r="I925" s="3">
        <f>IF(ISNUMBER(SEARCH(",",D925)),"כן","לא")</f>
      </c>
      <c r="J925" s="3">
        <f>IF(OR(ISNUMBER(SEARCH(",",D925)),ISNUMBER(SEARCH("קבוצות",G925))),"כן","לא")</f>
      </c>
    </row>
    <row r="926" spans="2:10" x14ac:dyDescent="0.25">
      <c r="B926" s="11"/>
      <c r="C926" s="11"/>
      <c r="D926" s="11"/>
      <c r="E926" s="11"/>
      <c r="F926" s="11"/>
      <c r="G926" s="11"/>
      <c r="H926" s="3">
        <f>IF(OR(F926="",F926=0),"לא","כן")</f>
      </c>
      <c r="I926" s="3">
        <f>IF(ISNUMBER(SEARCH(",",D926)),"כן","לא")</f>
      </c>
      <c r="J926" s="3">
        <f>IF(OR(ISNUMBER(SEARCH(",",D926)),ISNUMBER(SEARCH("קבוצות",G926))),"כן","לא")</f>
      </c>
    </row>
    <row r="927" spans="2:10" x14ac:dyDescent="0.25">
      <c r="B927" s="11"/>
      <c r="C927" s="11"/>
      <c r="D927" s="11"/>
      <c r="E927" s="11"/>
      <c r="F927" s="11"/>
      <c r="G927" s="11"/>
      <c r="H927" s="3">
        <f>IF(OR(F927="",F927=0),"לא","כן")</f>
      </c>
      <c r="I927" s="3">
        <f>IF(ISNUMBER(SEARCH(",",D927)),"כן","לא")</f>
      </c>
      <c r="J927" s="3">
        <f>IF(OR(ISNUMBER(SEARCH(",",D927)),ISNUMBER(SEARCH("קבוצות",G927))),"כן","לא")</f>
      </c>
    </row>
    <row r="928" spans="2:10" x14ac:dyDescent="0.25">
      <c r="B928" s="11"/>
      <c r="C928" s="11"/>
      <c r="D928" s="11"/>
      <c r="E928" s="11"/>
      <c r="F928" s="11"/>
      <c r="G928" s="11"/>
      <c r="H928" s="3">
        <f>IF(OR(F928="",F928=0),"לא","כן")</f>
      </c>
      <c r="I928" s="3">
        <f>IF(ISNUMBER(SEARCH(",",D928)),"כן","לא")</f>
      </c>
      <c r="J928" s="3">
        <f>IF(OR(ISNUMBER(SEARCH(",",D928)),ISNUMBER(SEARCH("קבוצות",G928))),"כן","לא")</f>
      </c>
    </row>
    <row r="929" spans="2:10" x14ac:dyDescent="0.25">
      <c r="B929" s="11"/>
      <c r="C929" s="11"/>
      <c r="D929" s="11"/>
      <c r="E929" s="11"/>
      <c r="F929" s="11"/>
      <c r="G929" s="11"/>
      <c r="H929" s="3">
        <f>IF(OR(F929="",F929=0),"לא","כן")</f>
      </c>
      <c r="I929" s="3">
        <f>IF(ISNUMBER(SEARCH(",",D929)),"כן","לא")</f>
      </c>
      <c r="J929" s="3">
        <f>IF(OR(ISNUMBER(SEARCH(",",D929)),ISNUMBER(SEARCH("קבוצות",G929))),"כן","לא")</f>
      </c>
    </row>
    <row r="930" spans="2:10" x14ac:dyDescent="0.25">
      <c r="B930" s="11"/>
      <c r="C930" s="11"/>
      <c r="D930" s="11"/>
      <c r="E930" s="11"/>
      <c r="F930" s="11"/>
      <c r="G930" s="11"/>
      <c r="H930" s="3">
        <f>IF(OR(F930="",F930=0),"לא","כן")</f>
      </c>
      <c r="I930" s="3">
        <f>IF(ISNUMBER(SEARCH(",",D930)),"כן","לא")</f>
      </c>
      <c r="J930" s="3">
        <f>IF(OR(ISNUMBER(SEARCH(",",D930)),ISNUMBER(SEARCH("קבוצות",G930))),"כן","לא")</f>
      </c>
    </row>
    <row r="931" spans="2:10" x14ac:dyDescent="0.25">
      <c r="B931" s="11"/>
      <c r="C931" s="11"/>
      <c r="D931" s="11"/>
      <c r="E931" s="11"/>
      <c r="F931" s="11"/>
      <c r="G931" s="11"/>
      <c r="H931" s="3">
        <f>IF(OR(F931="",F931=0),"לא","כן")</f>
      </c>
      <c r="I931" s="3">
        <f>IF(ISNUMBER(SEARCH(",",D931)),"כן","לא")</f>
      </c>
      <c r="J931" s="3">
        <f>IF(OR(ISNUMBER(SEARCH(",",D931)),ISNUMBER(SEARCH("קבוצות",G931))),"כן","לא")</f>
      </c>
    </row>
    <row r="932" spans="2:10" x14ac:dyDescent="0.25">
      <c r="B932" s="11"/>
      <c r="C932" s="11"/>
      <c r="D932" s="11"/>
      <c r="E932" s="11"/>
      <c r="F932" s="11"/>
      <c r="G932" s="11"/>
      <c r="H932" s="3">
        <f>IF(OR(F932="",F932=0),"לא","כן")</f>
      </c>
      <c r="I932" s="3">
        <f>IF(ISNUMBER(SEARCH(",",D932)),"כן","לא")</f>
      </c>
      <c r="J932" s="3">
        <f>IF(OR(ISNUMBER(SEARCH(",",D932)),ISNUMBER(SEARCH("קבוצות",G932))),"כן","לא")</f>
      </c>
    </row>
    <row r="933" spans="2:10" x14ac:dyDescent="0.25">
      <c r="B933" s="11"/>
      <c r="C933" s="11"/>
      <c r="D933" s="11"/>
      <c r="E933" s="11"/>
      <c r="F933" s="11"/>
      <c r="G933" s="11"/>
      <c r="H933" s="3">
        <f>IF(OR(F933="",F933=0),"לא","כן")</f>
      </c>
      <c r="I933" s="3">
        <f>IF(ISNUMBER(SEARCH(",",D933)),"כן","לא")</f>
      </c>
      <c r="J933" s="3">
        <f>IF(OR(ISNUMBER(SEARCH(",",D933)),ISNUMBER(SEARCH("קבוצות",G933))),"כן","לא")</f>
      </c>
    </row>
    <row r="934" spans="2:10" x14ac:dyDescent="0.25">
      <c r="B934" s="11"/>
      <c r="C934" s="11"/>
      <c r="D934" s="11"/>
      <c r="E934" s="11"/>
      <c r="F934" s="11"/>
      <c r="G934" s="11"/>
      <c r="H934" s="3">
        <f>IF(OR(F934="",F934=0),"לא","כן")</f>
      </c>
      <c r="I934" s="3">
        <f>IF(ISNUMBER(SEARCH(",",D934)),"כן","לא")</f>
      </c>
      <c r="J934" s="3">
        <f>IF(OR(ISNUMBER(SEARCH(",",D934)),ISNUMBER(SEARCH("קבוצות",G934))),"כן","לא")</f>
      </c>
    </row>
    <row r="935" spans="2:10" x14ac:dyDescent="0.25">
      <c r="B935" s="11"/>
      <c r="C935" s="11"/>
      <c r="D935" s="11"/>
      <c r="E935" s="11"/>
      <c r="F935" s="11"/>
      <c r="G935" s="11"/>
      <c r="H935" s="3">
        <f>IF(OR(F935="",F935=0),"לא","כן")</f>
      </c>
      <c r="I935" s="3">
        <f>IF(ISNUMBER(SEARCH(",",D935)),"כן","לא")</f>
      </c>
      <c r="J935" s="3">
        <f>IF(OR(ISNUMBER(SEARCH(",",D935)),ISNUMBER(SEARCH("קבוצות",G935))),"כן","לא")</f>
      </c>
    </row>
    <row r="936" spans="2:10" x14ac:dyDescent="0.25">
      <c r="B936" s="11"/>
      <c r="C936" s="11"/>
      <c r="D936" s="11"/>
      <c r="E936" s="11"/>
      <c r="F936" s="11"/>
      <c r="G936" s="11"/>
      <c r="H936" s="3">
        <f>IF(OR(F936="",F936=0),"לא","כן")</f>
      </c>
      <c r="I936" s="3">
        <f>IF(ISNUMBER(SEARCH(",",D936)),"כן","לא")</f>
      </c>
      <c r="J936" s="3">
        <f>IF(OR(ISNUMBER(SEARCH(",",D936)),ISNUMBER(SEARCH("קבוצות",G936))),"כן","לא")</f>
      </c>
    </row>
    <row r="937" spans="2:10" x14ac:dyDescent="0.25">
      <c r="B937" s="11"/>
      <c r="C937" s="11"/>
      <c r="D937" s="11"/>
      <c r="E937" s="11"/>
      <c r="F937" s="11"/>
      <c r="G937" s="11"/>
      <c r="H937" s="3">
        <f>IF(OR(F937="",F937=0),"לא","כן")</f>
      </c>
      <c r="I937" s="3">
        <f>IF(ISNUMBER(SEARCH(",",D937)),"כן","לא")</f>
      </c>
      <c r="J937" s="3">
        <f>IF(OR(ISNUMBER(SEARCH(",",D937)),ISNUMBER(SEARCH("קבוצות",G937))),"כן","לא")</f>
      </c>
    </row>
    <row r="938" spans="2:10" x14ac:dyDescent="0.25">
      <c r="B938" s="11"/>
      <c r="C938" s="11"/>
      <c r="D938" s="11"/>
      <c r="E938" s="11"/>
      <c r="F938" s="11"/>
      <c r="G938" s="11"/>
      <c r="H938" s="3">
        <f>IF(OR(F938="",F938=0),"לא","כן")</f>
      </c>
      <c r="I938" s="3">
        <f>IF(ISNUMBER(SEARCH(",",D938)),"כן","לא")</f>
      </c>
      <c r="J938" s="3">
        <f>IF(OR(ISNUMBER(SEARCH(",",D938)),ISNUMBER(SEARCH("קבוצות",G938))),"כן","לא")</f>
      </c>
    </row>
    <row r="939" spans="2:10" x14ac:dyDescent="0.25">
      <c r="B939" s="11"/>
      <c r="C939" s="11"/>
      <c r="D939" s="11"/>
      <c r="E939" s="11"/>
      <c r="F939" s="11"/>
      <c r="G939" s="11"/>
      <c r="H939" s="3">
        <f>IF(OR(F939="",F939=0),"לא","כן")</f>
      </c>
      <c r="I939" s="3">
        <f>IF(ISNUMBER(SEARCH(",",D939)),"כן","לא")</f>
      </c>
      <c r="J939" s="3">
        <f>IF(OR(ISNUMBER(SEARCH(",",D939)),ISNUMBER(SEARCH("קבוצות",G939))),"כן","לא")</f>
      </c>
    </row>
    <row r="940" spans="2:10" x14ac:dyDescent="0.25">
      <c r="B940" s="11"/>
      <c r="C940" s="11"/>
      <c r="D940" s="11"/>
      <c r="E940" s="11"/>
      <c r="F940" s="11"/>
      <c r="G940" s="11"/>
      <c r="H940" s="3">
        <f>IF(OR(F940="",F940=0),"לא","כן")</f>
      </c>
      <c r="I940" s="3">
        <f>IF(ISNUMBER(SEARCH(",",D940)),"כן","לא")</f>
      </c>
      <c r="J940" s="3">
        <f>IF(OR(ISNUMBER(SEARCH(",",D940)),ISNUMBER(SEARCH("קבוצות",G940))),"כן","לא")</f>
      </c>
    </row>
    <row r="941" spans="2:10" x14ac:dyDescent="0.25">
      <c r="B941" s="11"/>
      <c r="C941" s="11"/>
      <c r="D941" s="11"/>
      <c r="E941" s="11"/>
      <c r="F941" s="11"/>
      <c r="G941" s="11"/>
      <c r="H941" s="3">
        <f>IF(OR(F941="",F941=0),"לא","כן")</f>
      </c>
      <c r="I941" s="3">
        <f>IF(ISNUMBER(SEARCH(",",D941)),"כן","לא")</f>
      </c>
      <c r="J941" s="3">
        <f>IF(OR(ISNUMBER(SEARCH(",",D941)),ISNUMBER(SEARCH("קבוצות",G941))),"כן","לא")</f>
      </c>
    </row>
    <row r="942" spans="2:10" x14ac:dyDescent="0.25">
      <c r="B942" s="11"/>
      <c r="C942" s="11"/>
      <c r="D942" s="11"/>
      <c r="E942" s="11"/>
      <c r="F942" s="11"/>
      <c r="G942" s="11"/>
      <c r="H942" s="3">
        <f>IF(OR(F942="",F942=0),"לא","כן")</f>
      </c>
      <c r="I942" s="3">
        <f>IF(ISNUMBER(SEARCH(",",D942)),"כן","לא")</f>
      </c>
      <c r="J942" s="3">
        <f>IF(OR(ISNUMBER(SEARCH(",",D942)),ISNUMBER(SEARCH("קבוצות",G942))),"כן","לא")</f>
      </c>
    </row>
    <row r="943" spans="2:10" x14ac:dyDescent="0.25">
      <c r="B943" s="11"/>
      <c r="C943" s="11"/>
      <c r="D943" s="11"/>
      <c r="E943" s="11"/>
      <c r="F943" s="11"/>
      <c r="G943" s="11"/>
      <c r="H943" s="3">
        <f>IF(OR(F943="",F943=0),"לא","כן")</f>
      </c>
      <c r="I943" s="3">
        <f>IF(ISNUMBER(SEARCH(",",D943)),"כן","לא")</f>
      </c>
      <c r="J943" s="3">
        <f>IF(OR(ISNUMBER(SEARCH(",",D943)),ISNUMBER(SEARCH("קבוצות",G943))),"כן","לא")</f>
      </c>
    </row>
    <row r="944" spans="2:10" x14ac:dyDescent="0.25">
      <c r="B944" s="11"/>
      <c r="C944" s="11"/>
      <c r="D944" s="11"/>
      <c r="E944" s="11"/>
      <c r="F944" s="11"/>
      <c r="G944" s="11"/>
      <c r="H944" s="3">
        <f>IF(OR(F944="",F944=0),"לא","כן")</f>
      </c>
      <c r="I944" s="3">
        <f>IF(ISNUMBER(SEARCH(",",D944)),"כן","לא")</f>
      </c>
      <c r="J944" s="3">
        <f>IF(OR(ISNUMBER(SEARCH(",",D944)),ISNUMBER(SEARCH("קבוצות",G944))),"כן","לא")</f>
      </c>
    </row>
    <row r="945" spans="2:10" x14ac:dyDescent="0.25">
      <c r="B945" s="11"/>
      <c r="C945" s="11"/>
      <c r="D945" s="11"/>
      <c r="E945" s="11"/>
      <c r="F945" s="11"/>
      <c r="G945" s="11"/>
      <c r="H945" s="3">
        <f>IF(OR(F945="",F945=0),"לא","כן")</f>
      </c>
      <c r="I945" s="3">
        <f>IF(ISNUMBER(SEARCH(",",D945)),"כן","לא")</f>
      </c>
      <c r="J945" s="3">
        <f>IF(OR(ISNUMBER(SEARCH(",",D945)),ISNUMBER(SEARCH("קבוצות",G945))),"כן","לא")</f>
      </c>
    </row>
    <row r="946" spans="2:10" x14ac:dyDescent="0.25">
      <c r="B946" s="11"/>
      <c r="C946" s="11"/>
      <c r="D946" s="11"/>
      <c r="E946" s="11"/>
      <c r="F946" s="11"/>
      <c r="G946" s="11"/>
      <c r="H946" s="3">
        <f>IF(OR(F946="",F946=0),"לא","כן")</f>
      </c>
      <c r="I946" s="3">
        <f>IF(ISNUMBER(SEARCH(",",D946)),"כן","לא")</f>
      </c>
      <c r="J946" s="3">
        <f>IF(OR(ISNUMBER(SEARCH(",",D946)),ISNUMBER(SEARCH("קבוצות",G946))),"כן","לא")</f>
      </c>
    </row>
    <row r="947" spans="2:10" x14ac:dyDescent="0.25">
      <c r="B947" s="11"/>
      <c r="C947" s="11"/>
      <c r="D947" s="11"/>
      <c r="E947" s="11"/>
      <c r="F947" s="11"/>
      <c r="G947" s="11"/>
      <c r="H947" s="3">
        <f>IF(OR(F947="",F947=0),"לא","כן")</f>
      </c>
      <c r="I947" s="3">
        <f>IF(ISNUMBER(SEARCH(",",D947)),"כן","לא")</f>
      </c>
      <c r="J947" s="3">
        <f>IF(OR(ISNUMBER(SEARCH(",",D947)),ISNUMBER(SEARCH("קבוצות",G947))),"כן","לא")</f>
      </c>
    </row>
    <row r="948" spans="2:10" x14ac:dyDescent="0.25">
      <c r="B948" s="11"/>
      <c r="C948" s="11"/>
      <c r="D948" s="11"/>
      <c r="E948" s="11"/>
      <c r="F948" s="11"/>
      <c r="G948" s="11"/>
      <c r="H948" s="3">
        <f>IF(OR(F948="",F948=0),"לא","כן")</f>
      </c>
      <c r="I948" s="3">
        <f>IF(ISNUMBER(SEARCH(",",D948)),"כן","לא")</f>
      </c>
      <c r="J948" s="3">
        <f>IF(OR(ISNUMBER(SEARCH(",",D948)),ISNUMBER(SEARCH("קבוצות",G948))),"כן","לא")</f>
      </c>
    </row>
    <row r="949" spans="2:10" x14ac:dyDescent="0.25">
      <c r="B949" s="11"/>
      <c r="C949" s="11"/>
      <c r="D949" s="11"/>
      <c r="E949" s="11"/>
      <c r="F949" s="11"/>
      <c r="G949" s="11"/>
      <c r="H949" s="3">
        <f>IF(OR(F949="",F949=0),"לא","כן")</f>
      </c>
      <c r="I949" s="3">
        <f>IF(ISNUMBER(SEARCH(",",D949)),"כן","לא")</f>
      </c>
      <c r="J949" s="3">
        <f>IF(OR(ISNUMBER(SEARCH(",",D949)),ISNUMBER(SEARCH("קבוצות",G949))),"כן","לא")</f>
      </c>
    </row>
    <row r="950" spans="2:10" x14ac:dyDescent="0.25">
      <c r="B950" s="11"/>
      <c r="C950" s="11"/>
      <c r="D950" s="11"/>
      <c r="E950" s="11"/>
      <c r="F950" s="11"/>
      <c r="G950" s="11"/>
      <c r="H950" s="3">
        <f>IF(OR(F950="",F950=0),"לא","כן")</f>
      </c>
      <c r="I950" s="3">
        <f>IF(ISNUMBER(SEARCH(",",D950)),"כן","לא")</f>
      </c>
      <c r="J950" s="3">
        <f>IF(OR(ISNUMBER(SEARCH(",",D950)),ISNUMBER(SEARCH("קבוצות",G950))),"כן","לא")</f>
      </c>
    </row>
    <row r="951" spans="2:10" x14ac:dyDescent="0.25">
      <c r="B951" s="11"/>
      <c r="C951" s="11"/>
      <c r="D951" s="11"/>
      <c r="E951" s="11"/>
      <c r="F951" s="11"/>
      <c r="G951" s="11"/>
      <c r="H951" s="3">
        <f>IF(OR(F951="",F951=0),"לא","כן")</f>
      </c>
      <c r="I951" s="3">
        <f>IF(ISNUMBER(SEARCH(",",D951)),"כן","לא")</f>
      </c>
      <c r="J951" s="3">
        <f>IF(OR(ISNUMBER(SEARCH(",",D951)),ISNUMBER(SEARCH("קבוצות",G951))),"כן","לא")</f>
      </c>
    </row>
    <row r="952" spans="2:10" x14ac:dyDescent="0.25">
      <c r="B952" s="11"/>
      <c r="C952" s="11"/>
      <c r="D952" s="11"/>
      <c r="E952" s="11"/>
      <c r="F952" s="11"/>
      <c r="G952" s="11"/>
      <c r="H952" s="3">
        <f>IF(OR(F952="",F952=0),"לא","כן")</f>
      </c>
      <c r="I952" s="3">
        <f>IF(ISNUMBER(SEARCH(",",D952)),"כן","לא")</f>
      </c>
      <c r="J952" s="3">
        <f>IF(OR(ISNUMBER(SEARCH(",",D952)),ISNUMBER(SEARCH("קבוצות",G952))),"כן","לא")</f>
      </c>
    </row>
    <row r="953" spans="2:10" x14ac:dyDescent="0.25">
      <c r="B953" s="11"/>
      <c r="C953" s="11"/>
      <c r="D953" s="11"/>
      <c r="E953" s="11"/>
      <c r="F953" s="11"/>
      <c r="G953" s="11"/>
      <c r="H953" s="3">
        <f>IF(OR(F953="",F953=0),"לא","כן")</f>
      </c>
      <c r="I953" s="3">
        <f>IF(ISNUMBER(SEARCH(",",D953)),"כן","לא")</f>
      </c>
      <c r="J953" s="3">
        <f>IF(OR(ISNUMBER(SEARCH(",",D953)),ISNUMBER(SEARCH("קבוצות",G953))),"כן","לא")</f>
      </c>
    </row>
    <row r="954" spans="2:10" x14ac:dyDescent="0.25">
      <c r="B954" s="11"/>
      <c r="C954" s="11"/>
      <c r="D954" s="11"/>
      <c r="E954" s="11"/>
      <c r="F954" s="11"/>
      <c r="G954" s="11"/>
      <c r="H954" s="3">
        <f>IF(OR(F954="",F954=0),"לא","כן")</f>
      </c>
      <c r="I954" s="3">
        <f>IF(ISNUMBER(SEARCH(",",D954)),"כן","לא")</f>
      </c>
      <c r="J954" s="3">
        <f>IF(OR(ISNUMBER(SEARCH(",",D954)),ISNUMBER(SEARCH("קבוצות",G954))),"כן","לא")</f>
      </c>
    </row>
    <row r="955" spans="2:10" x14ac:dyDescent="0.25">
      <c r="B955" s="11"/>
      <c r="C955" s="11"/>
      <c r="D955" s="11"/>
      <c r="E955" s="11"/>
      <c r="F955" s="11"/>
      <c r="G955" s="11"/>
      <c r="H955" s="3">
        <f>IF(OR(F955="",F955=0),"לא","כן")</f>
      </c>
      <c r="I955" s="3">
        <f>IF(ISNUMBER(SEARCH(",",D955)),"כן","לא")</f>
      </c>
      <c r="J955" s="3">
        <f>IF(OR(ISNUMBER(SEARCH(",",D955)),ISNUMBER(SEARCH("קבוצות",G955))),"כן","לא")</f>
      </c>
    </row>
    <row r="956" spans="2:10" x14ac:dyDescent="0.25">
      <c r="B956" s="11"/>
      <c r="C956" s="11"/>
      <c r="D956" s="11"/>
      <c r="E956" s="11"/>
      <c r="F956" s="11"/>
      <c r="G956" s="11"/>
      <c r="H956" s="3">
        <f>IF(OR(F956="",F956=0),"לא","כן")</f>
      </c>
      <c r="I956" s="3">
        <f>IF(ISNUMBER(SEARCH(",",D956)),"כן","לא")</f>
      </c>
      <c r="J956" s="3">
        <f>IF(OR(ISNUMBER(SEARCH(",",D956)),ISNUMBER(SEARCH("קבוצות",G956))),"כן","לא")</f>
      </c>
    </row>
    <row r="957" spans="2:10" x14ac:dyDescent="0.25">
      <c r="B957" s="11"/>
      <c r="C957" s="11"/>
      <c r="D957" s="11"/>
      <c r="E957" s="11"/>
      <c r="F957" s="11"/>
      <c r="G957" s="11"/>
      <c r="H957" s="3">
        <f>IF(OR(F957="",F957=0),"לא","כן")</f>
      </c>
      <c r="I957" s="3">
        <f>IF(ISNUMBER(SEARCH(",",D957)),"כן","לא")</f>
      </c>
      <c r="J957" s="3">
        <f>IF(OR(ISNUMBER(SEARCH(",",D957)),ISNUMBER(SEARCH("קבוצות",G957))),"כן","לא")</f>
      </c>
    </row>
    <row r="958" spans="2:10" x14ac:dyDescent="0.25">
      <c r="B958" s="11"/>
      <c r="C958" s="11"/>
      <c r="D958" s="11"/>
      <c r="E958" s="11"/>
      <c r="F958" s="11"/>
      <c r="G958" s="11"/>
      <c r="H958" s="3">
        <f>IF(OR(F958="",F958=0),"לא","כן")</f>
      </c>
      <c r="I958" s="3">
        <f>IF(ISNUMBER(SEARCH(",",D958)),"כן","לא")</f>
      </c>
      <c r="J958" s="3">
        <f>IF(OR(ISNUMBER(SEARCH(",",D958)),ISNUMBER(SEARCH("קבוצות",G958))),"כן","לא")</f>
      </c>
    </row>
    <row r="959" spans="2:10" x14ac:dyDescent="0.25">
      <c r="B959" s="11"/>
      <c r="C959" s="11"/>
      <c r="D959" s="11"/>
      <c r="E959" s="11"/>
      <c r="F959" s="11"/>
      <c r="G959" s="11"/>
      <c r="H959" s="3">
        <f>IF(OR(F959="",F959=0),"לא","כן")</f>
      </c>
      <c r="I959" s="3">
        <f>IF(ISNUMBER(SEARCH(",",D959)),"כן","לא")</f>
      </c>
      <c r="J959" s="3">
        <f>IF(OR(ISNUMBER(SEARCH(",",D959)),ISNUMBER(SEARCH("קבוצות",G959))),"כן","לא")</f>
      </c>
    </row>
    <row r="960" spans="2:10" x14ac:dyDescent="0.25">
      <c r="B960" s="11"/>
      <c r="C960" s="11"/>
      <c r="D960" s="11"/>
      <c r="E960" s="11"/>
      <c r="F960" s="11"/>
      <c r="G960" s="11"/>
      <c r="H960" s="3">
        <f>IF(OR(F960="",F960=0),"לא","כן")</f>
      </c>
      <c r="I960" s="3">
        <f>IF(ISNUMBER(SEARCH(",",D960)),"כן","לא")</f>
      </c>
      <c r="J960" s="3">
        <f>IF(OR(ISNUMBER(SEARCH(",",D960)),ISNUMBER(SEARCH("קבוצות",G960))),"כן","לא")</f>
      </c>
    </row>
    <row r="961" spans="2:10" x14ac:dyDescent="0.25">
      <c r="B961" s="11"/>
      <c r="C961" s="11"/>
      <c r="D961" s="11"/>
      <c r="E961" s="11"/>
      <c r="F961" s="11"/>
      <c r="G961" s="11"/>
      <c r="H961" s="3">
        <f>IF(OR(F961="",F961=0),"לא","כן")</f>
      </c>
      <c r="I961" s="3">
        <f>IF(ISNUMBER(SEARCH(",",D961)),"כן","לא")</f>
      </c>
      <c r="J961" s="3">
        <f>IF(OR(ISNUMBER(SEARCH(",",D961)),ISNUMBER(SEARCH("קבוצות",G961))),"כן","לא")</f>
      </c>
    </row>
    <row r="962" spans="2:10" x14ac:dyDescent="0.25">
      <c r="B962" s="11"/>
      <c r="C962" s="11"/>
      <c r="D962" s="11"/>
      <c r="E962" s="11"/>
      <c r="F962" s="11"/>
      <c r="G962" s="11"/>
      <c r="H962" s="3">
        <f>IF(OR(F962="",F962=0),"לא","כן")</f>
      </c>
      <c r="I962" s="3">
        <f>IF(ISNUMBER(SEARCH(",",D962)),"כן","לא")</f>
      </c>
      <c r="J962" s="3">
        <f>IF(OR(ISNUMBER(SEARCH(",",D962)),ISNUMBER(SEARCH("קבוצות",G962))),"כן","לא")</f>
      </c>
    </row>
    <row r="963" spans="2:10" x14ac:dyDescent="0.25">
      <c r="B963" s="11"/>
      <c r="C963" s="11"/>
      <c r="D963" s="11"/>
      <c r="E963" s="11"/>
      <c r="F963" s="11"/>
      <c r="G963" s="11"/>
      <c r="H963" s="3">
        <f>IF(OR(F963="",F963=0),"לא","כן")</f>
      </c>
      <c r="I963" s="3">
        <f>IF(ISNUMBER(SEARCH(",",D963)),"כן","לא")</f>
      </c>
      <c r="J963" s="3">
        <f>IF(OR(ISNUMBER(SEARCH(",",D963)),ISNUMBER(SEARCH("קבוצות",G963))),"כן","לא")</f>
      </c>
    </row>
    <row r="964" spans="2:10" x14ac:dyDescent="0.25">
      <c r="B964" s="11"/>
      <c r="C964" s="11"/>
      <c r="D964" s="11"/>
      <c r="E964" s="11"/>
      <c r="F964" s="11"/>
      <c r="G964" s="11"/>
      <c r="H964" s="3">
        <f>IF(OR(F964="",F964=0),"לא","כן")</f>
      </c>
      <c r="I964" s="3">
        <f>IF(ISNUMBER(SEARCH(",",D964)),"כן","לא")</f>
      </c>
      <c r="J964" s="3">
        <f>IF(OR(ISNUMBER(SEARCH(",",D964)),ISNUMBER(SEARCH("קבוצות",G964))),"כן","לא")</f>
      </c>
    </row>
    <row r="965" spans="2:10" x14ac:dyDescent="0.25">
      <c r="B965" s="11"/>
      <c r="C965" s="11"/>
      <c r="D965" s="11"/>
      <c r="E965" s="11"/>
      <c r="F965" s="11"/>
      <c r="G965" s="11"/>
      <c r="H965" s="3">
        <f>IF(OR(F965="",F965=0),"לא","כן")</f>
      </c>
      <c r="I965" s="3">
        <f>IF(ISNUMBER(SEARCH(",",D965)),"כן","לא")</f>
      </c>
      <c r="J965" s="3">
        <f>IF(OR(ISNUMBER(SEARCH(",",D965)),ISNUMBER(SEARCH("קבוצות",G965))),"כן","לא")</f>
      </c>
    </row>
    <row r="966" spans="2:10" x14ac:dyDescent="0.25">
      <c r="B966" s="11"/>
      <c r="C966" s="11"/>
      <c r="D966" s="11"/>
      <c r="E966" s="11"/>
      <c r="F966" s="11"/>
      <c r="G966" s="11"/>
      <c r="H966" s="3">
        <f>IF(OR(F966="",F966=0),"לא","כן")</f>
      </c>
      <c r="I966" s="3">
        <f>IF(ISNUMBER(SEARCH(",",D966)),"כן","לא")</f>
      </c>
      <c r="J966" s="3">
        <f>IF(OR(ISNUMBER(SEARCH(",",D966)),ISNUMBER(SEARCH("קבוצות",G966))),"כן","לא")</f>
      </c>
    </row>
    <row r="967" spans="2:10" x14ac:dyDescent="0.25">
      <c r="B967" s="11"/>
      <c r="C967" s="11"/>
      <c r="D967" s="11"/>
      <c r="E967" s="11"/>
      <c r="F967" s="11"/>
      <c r="G967" s="11"/>
      <c r="H967" s="3">
        <f>IF(OR(F967="",F967=0),"לא","כן")</f>
      </c>
      <c r="I967" s="3">
        <f>IF(ISNUMBER(SEARCH(",",D967)),"כן","לא")</f>
      </c>
      <c r="J967" s="3">
        <f>IF(OR(ISNUMBER(SEARCH(",",D967)),ISNUMBER(SEARCH("קבוצות",G967))),"כן","לא")</f>
      </c>
    </row>
    <row r="968" spans="2:10" x14ac:dyDescent="0.25">
      <c r="B968" s="11"/>
      <c r="C968" s="11"/>
      <c r="D968" s="11"/>
      <c r="E968" s="11"/>
      <c r="F968" s="11"/>
      <c r="G968" s="11"/>
      <c r="H968" s="3">
        <f>IF(OR(F968="",F968=0),"לא","כן")</f>
      </c>
      <c r="I968" s="3">
        <f>IF(ISNUMBER(SEARCH(",",D968)),"כן","לא")</f>
      </c>
      <c r="J968" s="3">
        <f>IF(OR(ISNUMBER(SEARCH(",",D968)),ISNUMBER(SEARCH("קבוצות",G968))),"כן","לא")</f>
      </c>
    </row>
    <row r="969" spans="2:10" x14ac:dyDescent="0.25">
      <c r="B969" s="11"/>
      <c r="C969" s="11"/>
      <c r="D969" s="11"/>
      <c r="E969" s="11"/>
      <c r="F969" s="11"/>
      <c r="G969" s="11"/>
      <c r="H969" s="3">
        <f>IF(OR(F969="",F969=0),"לא","כן")</f>
      </c>
      <c r="I969" s="3">
        <f>IF(ISNUMBER(SEARCH(",",D969)),"כן","לא")</f>
      </c>
      <c r="J969" s="3">
        <f>IF(OR(ISNUMBER(SEARCH(",",D969)),ISNUMBER(SEARCH("קבוצות",G969))),"כן","לא")</f>
      </c>
    </row>
    <row r="970" spans="2:10" x14ac:dyDescent="0.25">
      <c r="B970" s="11"/>
      <c r="C970" s="11"/>
      <c r="D970" s="11"/>
      <c r="E970" s="11"/>
      <c r="F970" s="11"/>
      <c r="G970" s="11"/>
      <c r="H970" s="3">
        <f>IF(OR(F970="",F970=0),"לא","כן")</f>
      </c>
      <c r="I970" s="3">
        <f>IF(ISNUMBER(SEARCH(",",D970)),"כן","לא")</f>
      </c>
      <c r="J970" s="3">
        <f>IF(OR(ISNUMBER(SEARCH(",",D970)),ISNUMBER(SEARCH("קבוצות",G970))),"כן","לא")</f>
      </c>
    </row>
    <row r="971" spans="2:10" x14ac:dyDescent="0.25">
      <c r="B971" s="11"/>
      <c r="C971" s="11"/>
      <c r="D971" s="11"/>
      <c r="E971" s="11"/>
      <c r="F971" s="11"/>
      <c r="G971" s="11"/>
      <c r="H971" s="3">
        <f>IF(OR(F971="",F971=0),"לא","כן")</f>
      </c>
      <c r="I971" s="3">
        <f>IF(ISNUMBER(SEARCH(",",D971)),"כן","לא")</f>
      </c>
      <c r="J971" s="3">
        <f>IF(OR(ISNUMBER(SEARCH(",",D971)),ISNUMBER(SEARCH("קבוצות",G971))),"כן","לא")</f>
      </c>
    </row>
    <row r="972" spans="2:10" x14ac:dyDescent="0.25">
      <c r="B972" s="11"/>
      <c r="C972" s="11"/>
      <c r="D972" s="11"/>
      <c r="E972" s="11"/>
      <c r="F972" s="11"/>
      <c r="G972" s="11"/>
      <c r="H972" s="3">
        <f>IF(OR(F972="",F972=0),"לא","כן")</f>
      </c>
      <c r="I972" s="3">
        <f>IF(ISNUMBER(SEARCH(",",D972)),"כן","לא")</f>
      </c>
      <c r="J972" s="3">
        <f>IF(OR(ISNUMBER(SEARCH(",",D972)),ISNUMBER(SEARCH("קבוצות",G972))),"כן","לא")</f>
      </c>
    </row>
    <row r="973" spans="2:10" x14ac:dyDescent="0.25">
      <c r="B973" s="11"/>
      <c r="C973" s="11"/>
      <c r="D973" s="11"/>
      <c r="E973" s="11"/>
      <c r="F973" s="11"/>
      <c r="G973" s="11"/>
      <c r="H973" s="3">
        <f>IF(OR(F973="",F973=0),"לא","כן")</f>
      </c>
      <c r="I973" s="3">
        <f>IF(ISNUMBER(SEARCH(",",D973)),"כן","לא")</f>
      </c>
      <c r="J973" s="3">
        <f>IF(OR(ISNUMBER(SEARCH(",",D973)),ISNUMBER(SEARCH("קבוצות",G973))),"כן","לא")</f>
      </c>
    </row>
    <row r="974" spans="2:10" x14ac:dyDescent="0.25">
      <c r="B974" s="11"/>
      <c r="C974" s="11"/>
      <c r="D974" s="11"/>
      <c r="E974" s="11"/>
      <c r="F974" s="11"/>
      <c r="G974" s="11"/>
      <c r="H974" s="3">
        <f>IF(OR(F974="",F974=0),"לא","כן")</f>
      </c>
      <c r="I974" s="3">
        <f>IF(ISNUMBER(SEARCH(",",D974)),"כן","לא")</f>
      </c>
      <c r="J974" s="3">
        <f>IF(OR(ISNUMBER(SEARCH(",",D974)),ISNUMBER(SEARCH("קבוצות",G974))),"כן","לא")</f>
      </c>
    </row>
    <row r="975" spans="2:10" x14ac:dyDescent="0.25">
      <c r="B975" s="11"/>
      <c r="C975" s="11"/>
      <c r="D975" s="11"/>
      <c r="E975" s="11"/>
      <c r="F975" s="11"/>
      <c r="G975" s="11"/>
      <c r="H975" s="3">
        <f>IF(OR(F975="",F975=0),"לא","כן")</f>
      </c>
      <c r="I975" s="3">
        <f>IF(ISNUMBER(SEARCH(",",D975)),"כן","לא")</f>
      </c>
      <c r="J975" s="3">
        <f>IF(OR(ISNUMBER(SEARCH(",",D975)),ISNUMBER(SEARCH("קבוצות",G975))),"כן","לא")</f>
      </c>
    </row>
    <row r="976" spans="2:10" x14ac:dyDescent="0.25">
      <c r="B976" s="11"/>
      <c r="C976" s="11"/>
      <c r="D976" s="11"/>
      <c r="E976" s="11"/>
      <c r="F976" s="11"/>
      <c r="G976" s="11"/>
      <c r="H976" s="3">
        <f>IF(OR(F976="",F976=0),"לא","כן")</f>
      </c>
      <c r="I976" s="3">
        <f>IF(ISNUMBER(SEARCH(",",D976)),"כן","לא")</f>
      </c>
      <c r="J976" s="3">
        <f>IF(OR(ISNUMBER(SEARCH(",",D976)),ISNUMBER(SEARCH("קבוצות",G976))),"כן","לא")</f>
      </c>
    </row>
    <row r="977" spans="2:10" x14ac:dyDescent="0.25">
      <c r="B977" s="11"/>
      <c r="C977" s="11"/>
      <c r="D977" s="11"/>
      <c r="E977" s="11"/>
      <c r="F977" s="11"/>
      <c r="G977" s="11"/>
      <c r="H977" s="3">
        <f>IF(OR(F977="",F977=0),"לא","כן")</f>
      </c>
      <c r="I977" s="3">
        <f>IF(ISNUMBER(SEARCH(",",D977)),"כן","לא")</f>
      </c>
      <c r="J977" s="3">
        <f>IF(OR(ISNUMBER(SEARCH(",",D977)),ISNUMBER(SEARCH("קבוצות",G977))),"כן","לא")</f>
      </c>
    </row>
    <row r="978" spans="2:10" x14ac:dyDescent="0.25">
      <c r="B978" s="11"/>
      <c r="C978" s="11"/>
      <c r="D978" s="11"/>
      <c r="E978" s="11"/>
      <c r="F978" s="11"/>
      <c r="G978" s="11"/>
      <c r="H978" s="3">
        <f>IF(OR(F978="",F978=0),"לא","כן")</f>
      </c>
      <c r="I978" s="3">
        <f>IF(ISNUMBER(SEARCH(",",D978)),"כן","לא")</f>
      </c>
      <c r="J978" s="3">
        <f>IF(OR(ISNUMBER(SEARCH(",",D978)),ISNUMBER(SEARCH("קבוצות",G978))),"כן","לא")</f>
      </c>
    </row>
    <row r="979" spans="2:10" x14ac:dyDescent="0.25">
      <c r="B979" s="11"/>
      <c r="C979" s="11"/>
      <c r="D979" s="11"/>
      <c r="E979" s="11"/>
      <c r="F979" s="11"/>
      <c r="G979" s="11"/>
      <c r="H979" s="3">
        <f>IF(OR(F979="",F979=0),"לא","כן")</f>
      </c>
      <c r="I979" s="3">
        <f>IF(ISNUMBER(SEARCH(",",D979)),"כן","לא")</f>
      </c>
      <c r="J979" s="3">
        <f>IF(OR(ISNUMBER(SEARCH(",",D979)),ISNUMBER(SEARCH("קבוצות",G979))),"כן","לא")</f>
      </c>
    </row>
    <row r="980" spans="2:10" x14ac:dyDescent="0.25">
      <c r="B980" s="11"/>
      <c r="C980" s="11"/>
      <c r="D980" s="11"/>
      <c r="E980" s="11"/>
      <c r="F980" s="11"/>
      <c r="G980" s="11"/>
      <c r="H980" s="3">
        <f>IF(OR(F980="",F980=0),"לא","כן")</f>
      </c>
      <c r="I980" s="3">
        <f>IF(ISNUMBER(SEARCH(",",D980)),"כן","לא")</f>
      </c>
      <c r="J980" s="3">
        <f>IF(OR(ISNUMBER(SEARCH(",",D980)),ISNUMBER(SEARCH("קבוצות",G980))),"כן","לא")</f>
      </c>
    </row>
    <row r="981" spans="2:10" x14ac:dyDescent="0.25">
      <c r="B981" s="11"/>
      <c r="C981" s="11"/>
      <c r="D981" s="11"/>
      <c r="E981" s="11"/>
      <c r="F981" s="11"/>
      <c r="G981" s="11"/>
      <c r="H981" s="3">
        <f>IF(OR(F981="",F981=0),"לא","כן")</f>
      </c>
      <c r="I981" s="3">
        <f>IF(ISNUMBER(SEARCH(",",D981)),"כן","לא")</f>
      </c>
      <c r="J981" s="3">
        <f>IF(OR(ISNUMBER(SEARCH(",",D981)),ISNUMBER(SEARCH("קבוצות",G981))),"כן","לא")</f>
      </c>
    </row>
    <row r="982" spans="2:10" x14ac:dyDescent="0.25">
      <c r="B982" s="11"/>
      <c r="C982" s="11"/>
      <c r="D982" s="11"/>
      <c r="E982" s="11"/>
      <c r="F982" s="11"/>
      <c r="G982" s="11"/>
      <c r="H982" s="3">
        <f>IF(OR(F982="",F982=0),"לא","כן")</f>
      </c>
      <c r="I982" s="3">
        <f>IF(ISNUMBER(SEARCH(",",D982)),"כן","לא")</f>
      </c>
      <c r="J982" s="3">
        <f>IF(OR(ISNUMBER(SEARCH(",",D982)),ISNUMBER(SEARCH("קבוצות",G982))),"כן","לא")</f>
      </c>
    </row>
    <row r="983" spans="2:10" x14ac:dyDescent="0.25">
      <c r="B983" s="11"/>
      <c r="C983" s="11"/>
      <c r="D983" s="11"/>
      <c r="E983" s="11"/>
      <c r="F983" s="11"/>
      <c r="G983" s="11"/>
      <c r="H983" s="3">
        <f>IF(OR(F983="",F983=0),"לא","כן")</f>
      </c>
      <c r="I983" s="3">
        <f>IF(ISNUMBER(SEARCH(",",D983)),"כן","לא")</f>
      </c>
      <c r="J983" s="3">
        <f>IF(OR(ISNUMBER(SEARCH(",",D983)),ISNUMBER(SEARCH("קבוצות",G983))),"כן","לא")</f>
      </c>
    </row>
    <row r="984" spans="2:10" x14ac:dyDescent="0.25">
      <c r="B984" s="11"/>
      <c r="C984" s="11"/>
      <c r="D984" s="11"/>
      <c r="E984" s="11"/>
      <c r="F984" s="11"/>
      <c r="G984" s="11"/>
      <c r="H984" s="3">
        <f>IF(OR(F984="",F984=0),"לא","כן")</f>
      </c>
      <c r="I984" s="3">
        <f>IF(ISNUMBER(SEARCH(",",D984)),"כן","לא")</f>
      </c>
      <c r="J984" s="3">
        <f>IF(OR(ISNUMBER(SEARCH(",",D984)),ISNUMBER(SEARCH("קבוצות",G984))),"כן","לא")</f>
      </c>
    </row>
    <row r="985" spans="2:10" x14ac:dyDescent="0.25">
      <c r="B985" s="11"/>
      <c r="C985" s="11"/>
      <c r="D985" s="11"/>
      <c r="E985" s="11"/>
      <c r="F985" s="11"/>
      <c r="G985" s="11"/>
      <c r="H985" s="3">
        <f>IF(OR(F985="",F985=0),"לא","כן")</f>
      </c>
      <c r="I985" s="3">
        <f>IF(ISNUMBER(SEARCH(",",D985)),"כן","לא")</f>
      </c>
      <c r="J985" s="3">
        <f>IF(OR(ISNUMBER(SEARCH(",",D985)),ISNUMBER(SEARCH("קבוצות",G985))),"כן","לא")</f>
      </c>
    </row>
    <row r="986" spans="2:10" x14ac:dyDescent="0.25">
      <c r="B986" s="11"/>
      <c r="C986" s="11"/>
      <c r="D986" s="11"/>
      <c r="E986" s="11"/>
      <c r="F986" s="11"/>
      <c r="G986" s="11"/>
      <c r="H986" s="3">
        <f>IF(OR(F986="",F986=0),"לא","כן")</f>
      </c>
      <c r="I986" s="3">
        <f>IF(ISNUMBER(SEARCH(",",D986)),"כן","לא")</f>
      </c>
      <c r="J986" s="3">
        <f>IF(OR(ISNUMBER(SEARCH(",",D986)),ISNUMBER(SEARCH("קבוצות",G986))),"כן","לא")</f>
      </c>
    </row>
    <row r="987" spans="2:10" x14ac:dyDescent="0.25">
      <c r="B987" s="11"/>
      <c r="C987" s="11"/>
      <c r="D987" s="11"/>
      <c r="E987" s="11"/>
      <c r="F987" s="11"/>
      <c r="G987" s="11"/>
      <c r="H987" s="3">
        <f>IF(OR(F987="",F987=0),"לא","כן")</f>
      </c>
      <c r="I987" s="3">
        <f>IF(ISNUMBER(SEARCH(",",D987)),"כן","לא")</f>
      </c>
      <c r="J987" s="3">
        <f>IF(OR(ISNUMBER(SEARCH(",",D987)),ISNUMBER(SEARCH("קבוצות",G987))),"כן","לא")</f>
      </c>
    </row>
    <row r="988" spans="2:10" x14ac:dyDescent="0.25">
      <c r="B988" s="11"/>
      <c r="C988" s="11"/>
      <c r="D988" s="11"/>
      <c r="E988" s="11"/>
      <c r="F988" s="11"/>
      <c r="G988" s="11"/>
      <c r="H988" s="3">
        <f>IF(OR(F988="",F988=0),"לא","כן")</f>
      </c>
      <c r="I988" s="3">
        <f>IF(ISNUMBER(SEARCH(",",D988)),"כן","לא")</f>
      </c>
      <c r="J988" s="3">
        <f>IF(OR(ISNUMBER(SEARCH(",",D988)),ISNUMBER(SEARCH("קבוצות",G988))),"כן","לא")</f>
      </c>
    </row>
    <row r="989" spans="2:10" x14ac:dyDescent="0.25">
      <c r="B989" s="11"/>
      <c r="C989" s="11"/>
      <c r="D989" s="11"/>
      <c r="E989" s="11"/>
      <c r="F989" s="11"/>
      <c r="G989" s="11"/>
      <c r="H989" s="3">
        <f>IF(OR(F989="",F989=0),"לא","כן")</f>
      </c>
      <c r="I989" s="3">
        <f>IF(ISNUMBER(SEARCH(",",D989)),"כן","לא")</f>
      </c>
      <c r="J989" s="3">
        <f>IF(OR(ISNUMBER(SEARCH(",",D989)),ISNUMBER(SEARCH("קבוצות",G989))),"כן","לא")</f>
      </c>
    </row>
    <row r="990" spans="2:10" x14ac:dyDescent="0.25">
      <c r="B990" s="11"/>
      <c r="C990" s="11"/>
      <c r="D990" s="11"/>
      <c r="E990" s="11"/>
      <c r="F990" s="11"/>
      <c r="G990" s="11"/>
      <c r="H990" s="3">
        <f>IF(OR(F990="",F990=0),"לא","כן")</f>
      </c>
      <c r="I990" s="3">
        <f>IF(ISNUMBER(SEARCH(",",D990)),"כן","לא")</f>
      </c>
      <c r="J990" s="3">
        <f>IF(OR(ISNUMBER(SEARCH(",",D990)),ISNUMBER(SEARCH("קבוצות",G990))),"כן","לא")</f>
      </c>
    </row>
    <row r="991" spans="2:10" x14ac:dyDescent="0.25">
      <c r="B991" s="11"/>
      <c r="C991" s="11"/>
      <c r="D991" s="11"/>
      <c r="E991" s="11"/>
      <c r="F991" s="11"/>
      <c r="G991" s="11"/>
      <c r="H991" s="3">
        <f>IF(OR(F991="",F991=0),"לא","כן")</f>
      </c>
      <c r="I991" s="3">
        <f>IF(ISNUMBER(SEARCH(",",D991)),"כן","לא")</f>
      </c>
      <c r="J991" s="3">
        <f>IF(OR(ISNUMBER(SEARCH(",",D991)),ISNUMBER(SEARCH("קבוצות",G991))),"כן","לא")</f>
      </c>
    </row>
    <row r="992" spans="2:10" x14ac:dyDescent="0.25">
      <c r="B992" s="11"/>
      <c r="C992" s="11"/>
      <c r="D992" s="11"/>
      <c r="E992" s="11"/>
      <c r="F992" s="11"/>
      <c r="G992" s="11"/>
      <c r="H992" s="3">
        <f>IF(OR(F992="",F992=0),"לא","כן")</f>
      </c>
      <c r="I992" s="3">
        <f>IF(ISNUMBER(SEARCH(",",D992)),"כן","לא")</f>
      </c>
      <c r="J992" s="3">
        <f>IF(OR(ISNUMBER(SEARCH(",",D992)),ISNUMBER(SEARCH("קבוצות",G992))),"כן","לא")</f>
      </c>
    </row>
    <row r="993" spans="2:10" x14ac:dyDescent="0.25">
      <c r="B993" s="11"/>
      <c r="C993" s="11"/>
      <c r="D993" s="11"/>
      <c r="E993" s="11"/>
      <c r="F993" s="11"/>
      <c r="G993" s="11"/>
      <c r="H993" s="3">
        <f>IF(OR(F993="",F993=0),"לא","כן")</f>
      </c>
      <c r="I993" s="3">
        <f>IF(ISNUMBER(SEARCH(",",D993)),"כן","לא")</f>
      </c>
      <c r="J993" s="3">
        <f>IF(OR(ISNUMBER(SEARCH(",",D993)),ISNUMBER(SEARCH("קבוצות",G993))),"כן","לא")</f>
      </c>
    </row>
    <row r="994" spans="2:10" x14ac:dyDescent="0.25">
      <c r="B994" s="11"/>
      <c r="C994" s="11"/>
      <c r="D994" s="11"/>
      <c r="E994" s="11"/>
      <c r="F994" s="11"/>
      <c r="G994" s="11"/>
      <c r="H994" s="3">
        <f>IF(OR(F994="",F994=0),"לא","כן")</f>
      </c>
      <c r="I994" s="3">
        <f>IF(ISNUMBER(SEARCH(",",D994)),"כן","לא")</f>
      </c>
      <c r="J994" s="3">
        <f>IF(OR(ISNUMBER(SEARCH(",",D994)),ISNUMBER(SEARCH("קבוצות",G994))),"כן","לא")</f>
      </c>
    </row>
    <row r="995" spans="2:10" x14ac:dyDescent="0.25">
      <c r="B995" s="11"/>
      <c r="C995" s="11"/>
      <c r="D995" s="11"/>
      <c r="E995" s="11"/>
      <c r="F995" s="11"/>
      <c r="G995" s="11"/>
      <c r="H995" s="3">
        <f>IF(OR(F995="",F995=0),"לא","כן")</f>
      </c>
      <c r="I995" s="3">
        <f>IF(ISNUMBER(SEARCH(",",D995)),"כן","לא")</f>
      </c>
      <c r="J995" s="3">
        <f>IF(OR(ISNUMBER(SEARCH(",",D995)),ISNUMBER(SEARCH("קבוצות",G995))),"כן","לא")</f>
      </c>
    </row>
    <row r="996" spans="2:10" x14ac:dyDescent="0.25">
      <c r="B996" s="11"/>
      <c r="C996" s="11"/>
      <c r="D996" s="11"/>
      <c r="E996" s="11"/>
      <c r="F996" s="11"/>
      <c r="G996" s="11"/>
      <c r="H996" s="3">
        <f>IF(OR(F996="",F996=0),"לא","כן")</f>
      </c>
      <c r="I996" s="3">
        <f>IF(ISNUMBER(SEARCH(",",D996)),"כן","לא")</f>
      </c>
      <c r="J996" s="3">
        <f>IF(OR(ISNUMBER(SEARCH(",",D996)),ISNUMBER(SEARCH("קבוצות",G996))),"כן","לא")</f>
      </c>
    </row>
    <row r="997" spans="2:10" x14ac:dyDescent="0.25">
      <c r="B997" s="11"/>
      <c r="C997" s="11"/>
      <c r="D997" s="11"/>
      <c r="E997" s="11"/>
      <c r="F997" s="11"/>
      <c r="G997" s="11"/>
      <c r="H997" s="3">
        <f>IF(OR(F997="",F997=0),"לא","כן")</f>
      </c>
      <c r="I997" s="3">
        <f>IF(ISNUMBER(SEARCH(",",D997)),"כן","לא")</f>
      </c>
      <c r="J997" s="3">
        <f>IF(OR(ISNUMBER(SEARCH(",",D997)),ISNUMBER(SEARCH("קבוצות",G997))),"כן","לא")</f>
      </c>
    </row>
    <row r="998" spans="2:10" x14ac:dyDescent="0.25">
      <c r="B998" s="11"/>
      <c r="C998" s="11"/>
      <c r="D998" s="11"/>
      <c r="E998" s="11"/>
      <c r="F998" s="11"/>
      <c r="G998" s="11"/>
      <c r="H998" s="3">
        <f>IF(OR(F998="",F998=0),"לא","כן")</f>
      </c>
      <c r="I998" s="3">
        <f>IF(ISNUMBER(SEARCH(",",D998)),"כן","לא")</f>
      </c>
      <c r="J998" s="3">
        <f>IF(OR(ISNUMBER(SEARCH(",",D998)),ISNUMBER(SEARCH("קבוצות",G998))),"כן","לא")</f>
      </c>
    </row>
    <row r="999" spans="2:10" x14ac:dyDescent="0.25">
      <c r="B999" s="11"/>
      <c r="C999" s="11"/>
      <c r="D999" s="11"/>
      <c r="E999" s="11"/>
      <c r="F999" s="11"/>
      <c r="G999" s="11"/>
      <c r="H999" s="3">
        <f>IF(OR(F999="",F999=0),"לא","כן")</f>
      </c>
      <c r="I999" s="3">
        <f>IF(ISNUMBER(SEARCH(",",D999)),"כן","לא")</f>
      </c>
      <c r="J999" s="3">
        <f>IF(OR(ISNUMBER(SEARCH(",",D999)),ISNUMBER(SEARCH("קבוצות",G999))),"כן","לא")</f>
      </c>
    </row>
  </sheetData>
  <sheetProtection sheet="1" formatColumns="0" formatRows="0" sort="0" autoFilter="0" algorithmName="SHA-512" hashValue="rihCMxG7r0S2G16HnYBpJDc+pO5VcJV0EOn6RCexS15hB7PZRCMFX3/SKOjNfwmSSeqQLw8R3HNpVGbvQ+HBpA==" saltValue="C34hfpZ370bZjaQEcjop/Q==" spinCount="100000"/>
  <autoFilter ref="A1:J1"/>
  <dataValidations count="4">
    <dataValidation type="list" allowBlank="1" sqref="C10:C999">
      <formula1>"מאשר הגעה,טרם השיב,לא מגיע"</formula1>
    </dataValidation>
    <dataValidation type="list" allowBlank="1" sqref="C2:C999">
      <formula1>"מאשר הגעה,טרם השיב,לא מגיע"</formula1>
    </dataValidation>
    <dataValidation type="whole" allowBlank="1" sqref="F10:F999">
      <formula1>0</formula1>
      <formula2>999</formula2>
    </dataValidation>
    <dataValidation type="whole" allowBlank="1" sqref="F2:F999">
      <formula1>0</formula1>
      <formula2>999</formula2>
    </dataValidation>
  </dataValidations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28" customWidth="1"/>
  </cols>
  <sheetData>
    <row r="1" ht="24" customHeight="1" spans="1:3" x14ac:dyDescent="0.25">
      <c r="A1" s="9" t="s">
        <v>105</v>
      </c>
      <c r="B1" s="9" t="s">
        <v>106</v>
      </c>
      <c r="C1" s="12" t="s">
        <v>107</v>
      </c>
    </row>
    <row r="2" spans="1:3" x14ac:dyDescent="0.25">
      <c r="A2" s="2" t="s">
        <v>84</v>
      </c>
      <c r="B2" s="3">
        <f>COUNTIF('02_Guest_Database'!C2:C999,"מאשר הגעה")</f>
      </c>
      <c r="C2" s="13">
        <f>IFERROR(B2/SUM(B2:B4),0)</f>
      </c>
    </row>
    <row r="3" spans="1:3" x14ac:dyDescent="0.25">
      <c r="A3" s="2" t="s">
        <v>78</v>
      </c>
      <c r="B3" s="3">
        <f>COUNTIF('02_Guest_Database'!C2:C999,"טרם השיב")</f>
      </c>
      <c r="C3" s="13">
        <f>IFERROR(B3/SUM(B2:B4),0)</f>
      </c>
    </row>
    <row r="4" spans="1:3" x14ac:dyDescent="0.25">
      <c r="A4" s="2" t="s">
        <v>108</v>
      </c>
      <c r="B4" s="3">
        <f>COUNTIF('02_Guest_Database'!C2:C999,"לא מגיע")</f>
      </c>
      <c r="C4" s="13">
        <f>IFERROR(B4/SUM(B2:B4),0)</f>
      </c>
    </row>
    <row r="5" spans="1:3" x14ac:dyDescent="0.25">
      <c r="A5" s="2" t="s">
        <v>2</v>
      </c>
      <c r="B5" s="2" t="s">
        <v>109</v>
      </c>
      <c r="C5" s="14" t="s">
        <v>50</v>
      </c>
    </row>
  </sheetData>
  <sheetProtection sheet="1" formatColumns="0" formatRows="0" sort="0" autoFilter="0" algorithmName="SHA-512" hashValue="hx+rxM37GgP3a4G5lchso7FJA1hE5TdFkY5MfafZaIF4vkAJ0zFrVsoHsw/ojRrT0hDEvDKtrcf4T4iHqZsHMg==" saltValue="ZXzhyMxej0ya7j2B+gDbLA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2" customWidth="1"/>
    <col min="3" max="3" width="25" customWidth="1"/>
  </cols>
  <sheetData>
    <row r="1" ht="24" customHeight="1" spans="1:3" x14ac:dyDescent="0.25">
      <c r="A1" s="9" t="s">
        <v>110</v>
      </c>
      <c r="B1" s="9" t="s">
        <v>1</v>
      </c>
      <c r="C1" s="9" t="s">
        <v>2</v>
      </c>
    </row>
    <row r="2" spans="1:3" x14ac:dyDescent="0.25">
      <c r="A2" s="2" t="s">
        <v>111</v>
      </c>
      <c r="B2" s="3">
        <f>COUNTIF(A15:A999,"&lt;&gt;")</f>
      </c>
      <c r="C2" s="2" t="s">
        <v>14</v>
      </c>
    </row>
    <row r="3" spans="1:3" x14ac:dyDescent="0.25">
      <c r="A3" s="2" t="s">
        <v>112</v>
      </c>
      <c r="B3" s="3">
        <f>IFERROR(INDEX(A15:A999,MATCH(MAX(B15:B999),B15:B999,0)),"")</f>
      </c>
      <c r="C3" s="2" t="s">
        <v>14</v>
      </c>
    </row>
    <row r="4" spans="1:3" x14ac:dyDescent="0.25">
      <c r="A4" s="2" t="s">
        <v>113</v>
      </c>
      <c r="B4" s="3">
        <f>IFERROR(MAX(B15:B999),0)</f>
      </c>
      <c r="C4" s="2" t="s">
        <v>14</v>
      </c>
    </row>
    <row r="5" spans="1:3" x14ac:dyDescent="0.25">
      <c r="A5" s="2" t="s">
        <v>114</v>
      </c>
      <c r="B5" s="3">
        <f>COUNTIF('02_Guest_Database'!D2:D999,"*VIP*")</f>
      </c>
      <c r="C5" s="2" t="s">
        <v>14</v>
      </c>
    </row>
    <row r="6" spans="1:3" x14ac:dyDescent="0.25">
      <c r="A6" s="2" t="s">
        <v>115</v>
      </c>
      <c r="B6" s="3">
        <f>COUNTIFS('02_Guest_Database'!E2:E999,"&lt;&gt;",'02_Guest_Database'!E2:E999,"&lt;&gt;ללא")</f>
      </c>
      <c r="C6" s="2" t="s">
        <v>14</v>
      </c>
    </row>
    <row r="7" spans="1:3" x14ac:dyDescent="0.25">
      <c r="A7" s="2" t="s">
        <v>116</v>
      </c>
      <c r="B7" s="3">
        <f>COUNTIF('02_Guest_Database'!I2:I999,"כן")</f>
      </c>
      <c r="C7" s="2" t="s">
        <v>14</v>
      </c>
    </row>
    <row r="8" spans="1:3" x14ac:dyDescent="0.25">
      <c r="A8" s="2" t="s">
        <v>117</v>
      </c>
      <c r="B8" s="3">
        <f>COUNTIF('02_Guest_Database'!J2:J999,"כן")</f>
      </c>
      <c r="C8" s="2" t="s">
        <v>14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3" x14ac:dyDescent="0.25">
      <c r="A10" s="2" t="s">
        <v>118</v>
      </c>
      <c r="B10" s="2" t="s">
        <v>106</v>
      </c>
      <c r="C10" s="6" t="s">
        <v>50</v>
      </c>
    </row>
    <row r="11" spans="1:3" x14ac:dyDescent="0.25">
      <c r="A11" s="2" t="s">
        <v>99</v>
      </c>
      <c r="B11" s="3">
        <f>COUNTIF('02_Guest_Database'!E2:E999,"*טבעוני*")</f>
      </c>
      <c r="C11" s="6" t="s">
        <v>50</v>
      </c>
    </row>
    <row r="12" spans="1:3" x14ac:dyDescent="0.25">
      <c r="A12" s="2" t="s">
        <v>119</v>
      </c>
      <c r="B12" s="3">
        <f>COUNTIF('02_Guest_Database'!E2:E999,"*גלוטן*")</f>
      </c>
      <c r="C12" s="6" t="s">
        <v>50</v>
      </c>
    </row>
    <row r="13" spans="1:3" x14ac:dyDescent="0.25">
      <c r="A13" s="2" t="s">
        <v>120</v>
      </c>
      <c r="B13" s="3">
        <f>COUNTIF('02_Guest_Database'!E2:E999,"*אלרג*")</f>
      </c>
      <c r="C13" s="6" t="s">
        <v>50</v>
      </c>
    </row>
    <row r="14" spans="1:3" x14ac:dyDescent="0.25">
      <c r="A14" s="2" t="s">
        <v>67</v>
      </c>
      <c r="B14" s="2" t="s">
        <v>121</v>
      </c>
      <c r="C14" s="2" t="s">
        <v>2</v>
      </c>
    </row>
    <row r="15" spans="1:3" x14ac:dyDescent="0.25">
      <c r="A15" s="2" t="s">
        <v>79</v>
      </c>
      <c r="B15" s="3">
        <f>COUNTIF('02_Guest_Database'!D2:D999,"*משפחה*")</f>
      </c>
      <c r="C15" s="2" t="s">
        <v>122</v>
      </c>
    </row>
    <row r="16" spans="1:3" x14ac:dyDescent="0.25">
      <c r="A16" s="2" t="s">
        <v>85</v>
      </c>
      <c r="B16" s="3">
        <f>COUNTIF('02_Guest_Database'!D2:D999,"*חבר גרעין*")</f>
      </c>
      <c r="C16" s="2" t="s">
        <v>122</v>
      </c>
    </row>
    <row r="17" spans="1:3" x14ac:dyDescent="0.25">
      <c r="A17" s="2" t="s">
        <v>94</v>
      </c>
      <c r="B17" s="3">
        <f>COUNTIF('02_Guest_Database'!D2:D999,"*לימודים*")</f>
      </c>
      <c r="C17" s="2" t="s">
        <v>122</v>
      </c>
    </row>
    <row r="18" spans="1:3" x14ac:dyDescent="0.25">
      <c r="A18" s="2" t="s">
        <v>123</v>
      </c>
      <c r="B18" s="3">
        <f>COUNTIF('02_Guest_Database'!D2:D999,"*VIP*")</f>
      </c>
      <c r="C18" s="2" t="s">
        <v>122</v>
      </c>
    </row>
  </sheetData>
  <sheetProtection sheet="1" formatColumns="0" formatRows="0" sort="0" autoFilter="0" algorithmName="SHA-512" hashValue="yppWoRl4fnHbQ0U+1A/UUzEvG7Q04FXT7m3Zg1zIN17GaOv1jioDyvljTy4IokEXK7HOvF6VOQ7xZUt7lOCCzA==" saltValue="08Pbo3SsQtzq6hdNSP36rg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9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2" customWidth="1"/>
    <col min="3" max="3" width="25" customWidth="1"/>
    <col min="4" max="4" width="14" customWidth="1"/>
    <col min="5" max="5" width="42" customWidth="1"/>
    <col min="6" max="6" width="32" customWidth="1"/>
    <col min="7" max="7" width="36" customWidth="1"/>
    <col min="8" max="8" width="42" customWidth="1"/>
    <col min="9" max="9" width="41" customWidth="1"/>
    <col min="10" max="11" width="14" customWidth="1"/>
    <col min="12" max="12" width="28" customWidth="1"/>
    <col min="13" max="13" width="56" customWidth="1"/>
  </cols>
  <sheetData>
    <row r="1" ht="24" customHeight="1" spans="1:13" x14ac:dyDescent="0.25">
      <c r="A1" s="9" t="s">
        <v>110</v>
      </c>
      <c r="B1" s="9" t="s">
        <v>1</v>
      </c>
      <c r="C1" s="9" t="s">
        <v>2</v>
      </c>
      <c r="L1" s="9" t="s">
        <v>124</v>
      </c>
      <c r="M1" s="9" t="s">
        <v>125</v>
      </c>
    </row>
    <row r="2" spans="1:13" x14ac:dyDescent="0.25">
      <c r="A2" s="2" t="s">
        <v>26</v>
      </c>
      <c r="B2" s="3">
        <f>COUNTIF('02_Guest_Database'!F2:F999,"&gt;0")</f>
      </c>
      <c r="C2" s="2" t="s">
        <v>14</v>
      </c>
      <c r="L2" s="10" t="s">
        <v>126</v>
      </c>
      <c r="M2" s="8" t="s">
        <v>126</v>
      </c>
    </row>
    <row r="3" spans="1:3" x14ac:dyDescent="0.25">
      <c r="A3" s="2" t="s">
        <v>24</v>
      </c>
      <c r="B3" s="3">
        <f>COUNTIFS('02_Guest_Database'!B2:B999,"&lt;&gt;",'02_Guest_Database'!C2:C999,"מאשר הגעה",'02_Guest_Database'!F2:F999,"")+COUNTIFS('02_Guest_Database'!B2:B999,"&lt;&gt;",'02_Guest_Database'!C2:C999,"מאשר הגעה",'02_Guest_Database'!F2:F999,0)</f>
      </c>
      <c r="C3" s="2" t="s">
        <v>25</v>
      </c>
    </row>
    <row r="4" spans="1:3" x14ac:dyDescent="0.25">
      <c r="A4" s="2" t="s">
        <v>127</v>
      </c>
      <c r="B4" s="3">
        <f>SUM(D14:D999)</f>
      </c>
      <c r="C4" s="2" t="s">
        <v>31</v>
      </c>
    </row>
    <row r="5" spans="1:3" x14ac:dyDescent="0.25">
      <c r="A5" s="2" t="s">
        <v>128</v>
      </c>
      <c r="B5" s="3">
        <f>SUM(E14:E999)</f>
      </c>
      <c r="C5" s="2" t="s">
        <v>27</v>
      </c>
    </row>
    <row r="6" spans="1:3" x14ac:dyDescent="0.25">
      <c r="A6" s="15" t="s">
        <v>129</v>
      </c>
      <c r="B6" s="13">
        <f>IFERROR(B5/B4,0)</f>
      </c>
      <c r="C6" s="15" t="s">
        <v>130</v>
      </c>
    </row>
    <row r="7" spans="1:3" x14ac:dyDescent="0.25">
      <c r="A7" s="2" t="s">
        <v>131</v>
      </c>
      <c r="B7" s="3">
        <f>SUM(F14:F999)</f>
      </c>
      <c r="C7" s="2" t="s">
        <v>31</v>
      </c>
    </row>
    <row r="8" spans="1:3" x14ac:dyDescent="0.25">
      <c r="A8" s="2" t="s">
        <v>132</v>
      </c>
      <c r="B8" s="3">
        <f>SUMPRODUCT(--(H14:H999&lt;&gt;""),--(H14:H999&lt;&gt;"תקין"))</f>
      </c>
      <c r="C8" s="2" t="s">
        <v>33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3" x14ac:dyDescent="0.25">
      <c r="A10" s="2" t="s">
        <v>124</v>
      </c>
      <c r="B10" s="2" t="s">
        <v>125</v>
      </c>
      <c r="C10" s="2" t="s">
        <v>53</v>
      </c>
    </row>
    <row r="11" spans="1:3" x14ac:dyDescent="0.25">
      <c r="A11" s="2" t="s">
        <v>126</v>
      </c>
      <c r="B11" s="6" t="s">
        <v>50</v>
      </c>
      <c r="C11" s="2" t="s">
        <v>56</v>
      </c>
    </row>
    <row r="12" spans="1:3" x14ac:dyDescent="0.25">
      <c r="A12" s="6" t="s">
        <v>50</v>
      </c>
      <c r="B12" s="6" t="s">
        <v>50</v>
      </c>
      <c r="C12" s="6" t="s">
        <v>50</v>
      </c>
    </row>
    <row r="13" spans="1:12" x14ac:dyDescent="0.25">
      <c r="A13" s="2" t="s">
        <v>69</v>
      </c>
      <c r="B13" s="2" t="s">
        <v>133</v>
      </c>
      <c r="C13" s="2" t="s">
        <v>67</v>
      </c>
      <c r="D13" s="2" t="s">
        <v>134</v>
      </c>
      <c r="E13" s="2" t="s">
        <v>26</v>
      </c>
      <c r="F13" s="2" t="s">
        <v>135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</row>
    <row r="14" spans="1:12" x14ac:dyDescent="0.25">
      <c r="A14" s="2">
        <v>1</v>
      </c>
      <c r="B14" s="2" t="s">
        <v>142</v>
      </c>
      <c r="C14" s="2" t="s">
        <v>79</v>
      </c>
      <c r="D14" s="2">
        <v>10</v>
      </c>
      <c r="E14" s="3">
        <f>IF(A14="","",COUNTIF('02_Guest_Database'!F2:F999,A14))</f>
      </c>
      <c r="F14" s="3">
        <f>IF(A14="","",MAX(0,D14-E14))</f>
      </c>
      <c r="G14" s="3">
        <f>IF(A14="","",IFERROR(E14/D14,0))</f>
      </c>
      <c r="H14" s="3">
        <f>IF(A14="","",IF(E14&gt;D14,"חריגת קיבולת",IF(E14=D14,"מלא","תקין")))</f>
      </c>
      <c r="I14" s="2" t="s">
        <v>143</v>
      </c>
      <c r="J14" s="2" t="s">
        <v>50</v>
      </c>
      <c r="K14" s="2" t="s">
        <v>50</v>
      </c>
      <c r="L14" s="2" t="s">
        <v>144</v>
      </c>
    </row>
    <row r="15" spans="1:12" x14ac:dyDescent="0.25">
      <c r="A15" s="2">
        <v>2</v>
      </c>
      <c r="B15" s="2" t="s">
        <v>145</v>
      </c>
      <c r="C15" s="2" t="s">
        <v>79</v>
      </c>
      <c r="D15" s="2">
        <v>10</v>
      </c>
      <c r="E15" s="3">
        <f>IF(A15="","",COUNTIF('02_Guest_Database'!F2:F999,A15))</f>
      </c>
      <c r="F15" s="3">
        <f>IF(A15="","",MAX(0,D15-E15))</f>
      </c>
      <c r="G15" s="3">
        <f>IF(A15="","",IFERROR(E15/D15,0))</f>
      </c>
      <c r="H15" s="3">
        <f>IF(A15="","",IF(E15&gt;D15,"חריגת קיבולת",IF(E15=D15,"מלא","תקין")))</f>
      </c>
      <c r="I15" s="2" t="s">
        <v>146</v>
      </c>
      <c r="J15" s="2" t="s">
        <v>50</v>
      </c>
      <c r="K15" s="2" t="s">
        <v>50</v>
      </c>
      <c r="L15" s="2" t="s">
        <v>147</v>
      </c>
    </row>
    <row r="16" spans="1:12" x14ac:dyDescent="0.25">
      <c r="A16" s="2">
        <v>3</v>
      </c>
      <c r="B16" s="2" t="s">
        <v>148</v>
      </c>
      <c r="C16" s="2" t="s">
        <v>149</v>
      </c>
      <c r="D16" s="2">
        <v>10</v>
      </c>
      <c r="E16" s="3">
        <f>IF(A16="","",COUNTIF('02_Guest_Database'!F2:F999,A16))</f>
      </c>
      <c r="F16" s="3">
        <f>IF(A16="","",MAX(0,D16-E16))</f>
      </c>
      <c r="G16" s="3">
        <f>IF(A16="","",IFERROR(E16/D16,0))</f>
      </c>
      <c r="H16" s="3">
        <f>IF(A16="","",IF(E16&gt;D16,"חריגת קיבולת",IF(E16=D16,"מלא","תקין")))</f>
      </c>
      <c r="I16" s="2" t="s">
        <v>150</v>
      </c>
      <c r="J16" s="2" t="s">
        <v>50</v>
      </c>
      <c r="K16" s="2" t="s">
        <v>50</v>
      </c>
      <c r="L16" s="2" t="s">
        <v>151</v>
      </c>
    </row>
    <row r="17" spans="1:12" x14ac:dyDescent="0.25">
      <c r="A17" s="2" t="s">
        <v>50</v>
      </c>
      <c r="B17" s="2" t="s">
        <v>152</v>
      </c>
      <c r="C17" s="2" t="s">
        <v>50</v>
      </c>
      <c r="D17" s="2" t="s">
        <v>50</v>
      </c>
      <c r="E17" s="3">
        <f>IF(A17="","",COUNTIF('02_Guest_Database'!F2:F999,A17))</f>
      </c>
      <c r="F17" s="3">
        <f>IF(A17="","",MAX(0,D17-E17))</f>
      </c>
      <c r="G17" s="3">
        <f>IF(A17="","",IFERROR(E17/D17,0))</f>
      </c>
      <c r="H17" s="3">
        <f>IF(A17="","",IF(E17&gt;D17,"חריגת קיבולת",IF(E17=D17,"מלא","תקין")))</f>
      </c>
      <c r="I17" s="2" t="s">
        <v>50</v>
      </c>
      <c r="J17" s="2" t="s">
        <v>50</v>
      </c>
      <c r="K17" s="2" t="s">
        <v>50</v>
      </c>
      <c r="L17" s="2" t="s">
        <v>153</v>
      </c>
    </row>
    <row r="18" spans="1:12" x14ac:dyDescent="0.25">
      <c r="A18" s="11"/>
      <c r="B18" s="11"/>
      <c r="C18" s="11"/>
      <c r="D18" s="11"/>
      <c r="E18" s="3">
        <f>IF(A18="","",COUNTIF('02_Guest_Database'!F2:F999,A18))</f>
      </c>
      <c r="F18" s="3">
        <f>IF(A18="","",MAX(0,D18-E18))</f>
      </c>
      <c r="G18" s="3">
        <f>IF(A18="","",IFERROR(E18/D18,0))</f>
      </c>
      <c r="H18" s="3">
        <f>IF(A18="","",IF(E18&gt;D18,"חריגת קיבולת",IF(E18=D18,"מלא","תקין")))</f>
      </c>
      <c r="I18" s="11"/>
      <c r="J18" s="11"/>
      <c r="K18" s="11"/>
      <c r="L18" s="11"/>
    </row>
    <row r="19" spans="1:12" x14ac:dyDescent="0.25">
      <c r="A19" s="11"/>
      <c r="B19" s="11"/>
      <c r="C19" s="11"/>
      <c r="D19" s="11"/>
      <c r="E19" s="3">
        <f>IF(A19="","",COUNTIF('02_Guest_Database'!F2:F999,A19))</f>
      </c>
      <c r="F19" s="3">
        <f>IF(A19="","",MAX(0,D19-E19))</f>
      </c>
      <c r="G19" s="3">
        <f>IF(A19="","",IFERROR(E19/D19,0))</f>
      </c>
      <c r="H19" s="3">
        <f>IF(A19="","",IF(E19&gt;D19,"חריגת קיבולת",IF(E19=D19,"מלא","תקין")))</f>
      </c>
      <c r="I19" s="11"/>
      <c r="J19" s="11"/>
      <c r="K19" s="11"/>
      <c r="L19" s="11"/>
    </row>
    <row r="20" spans="1:12" x14ac:dyDescent="0.25">
      <c r="A20" s="11"/>
      <c r="B20" s="11"/>
      <c r="C20" s="11"/>
      <c r="D20" s="11"/>
      <c r="E20" s="3">
        <f>IF(A20="","",COUNTIF('02_Guest_Database'!F2:F999,A20))</f>
      </c>
      <c r="F20" s="3">
        <f>IF(A20="","",MAX(0,D20-E20))</f>
      </c>
      <c r="G20" s="3">
        <f>IF(A20="","",IFERROR(E20/D20,0))</f>
      </c>
      <c r="H20" s="3">
        <f>IF(A20="","",IF(E20&gt;D20,"חריגת קיבולת",IF(E20=D20,"מלא","תקין")))</f>
      </c>
      <c r="I20" s="11"/>
      <c r="J20" s="11"/>
      <c r="K20" s="11"/>
      <c r="L20" s="11"/>
    </row>
    <row r="21" spans="1:12" x14ac:dyDescent="0.25">
      <c r="A21" s="11"/>
      <c r="B21" s="11"/>
      <c r="C21" s="11"/>
      <c r="D21" s="11"/>
      <c r="E21" s="3">
        <f>IF(A21="","",COUNTIF('02_Guest_Database'!F2:F999,A21))</f>
      </c>
      <c r="F21" s="3">
        <f>IF(A21="","",MAX(0,D21-E21))</f>
      </c>
      <c r="G21" s="3">
        <f>IF(A21="","",IFERROR(E21/D21,0))</f>
      </c>
      <c r="H21" s="3">
        <f>IF(A21="","",IF(E21&gt;D21,"חריגת קיבולת",IF(E21=D21,"מלא","תקין")))</f>
      </c>
      <c r="I21" s="11"/>
      <c r="J21" s="11"/>
      <c r="K21" s="11"/>
      <c r="L21" s="11"/>
    </row>
    <row r="22" spans="1:12" x14ac:dyDescent="0.25">
      <c r="A22" s="11"/>
      <c r="B22" s="11"/>
      <c r="C22" s="11"/>
      <c r="D22" s="11"/>
      <c r="E22" s="3">
        <f>IF(A22="","",COUNTIF('02_Guest_Database'!F2:F999,A22))</f>
      </c>
      <c r="F22" s="3">
        <f>IF(A22="","",MAX(0,D22-E22))</f>
      </c>
      <c r="G22" s="3">
        <f>IF(A22="","",IFERROR(E22/D22,0))</f>
      </c>
      <c r="H22" s="3">
        <f>IF(A22="","",IF(E22&gt;D22,"חריגת קיבולת",IF(E22=D22,"מלא","תקין")))</f>
      </c>
      <c r="I22" s="11"/>
      <c r="J22" s="11"/>
      <c r="K22" s="11"/>
      <c r="L22" s="11"/>
    </row>
    <row r="23" spans="1:12" x14ac:dyDescent="0.25">
      <c r="A23" s="11"/>
      <c r="B23" s="11"/>
      <c r="C23" s="11"/>
      <c r="D23" s="11"/>
      <c r="E23" s="3">
        <f>IF(A23="","",COUNTIF('02_Guest_Database'!F2:F999,A23))</f>
      </c>
      <c r="F23" s="3">
        <f>IF(A23="","",MAX(0,D23-E23))</f>
      </c>
      <c r="G23" s="3">
        <f>IF(A23="","",IFERROR(E23/D23,0))</f>
      </c>
      <c r="H23" s="3">
        <f>IF(A23="","",IF(E23&gt;D23,"חריגת קיבולת",IF(E23=D23,"מלא","תקין")))</f>
      </c>
      <c r="I23" s="11"/>
      <c r="J23" s="11"/>
      <c r="K23" s="11"/>
      <c r="L23" s="11"/>
    </row>
    <row r="24" spans="1:12" x14ac:dyDescent="0.25">
      <c r="A24" s="11"/>
      <c r="B24" s="11"/>
      <c r="C24" s="11"/>
      <c r="D24" s="11"/>
      <c r="E24" s="3">
        <f>IF(A24="","",COUNTIF('02_Guest_Database'!F2:F999,A24))</f>
      </c>
      <c r="F24" s="3">
        <f>IF(A24="","",MAX(0,D24-E24))</f>
      </c>
      <c r="G24" s="3">
        <f>IF(A24="","",IFERROR(E24/D24,0))</f>
      </c>
      <c r="H24" s="3">
        <f>IF(A24="","",IF(E24&gt;D24,"חריגת קיבולת",IF(E24=D24,"מלא","תקין")))</f>
      </c>
      <c r="I24" s="11"/>
      <c r="J24" s="11"/>
      <c r="K24" s="11"/>
      <c r="L24" s="11"/>
    </row>
    <row r="25" spans="1:12" x14ac:dyDescent="0.25">
      <c r="A25" s="11"/>
      <c r="B25" s="11"/>
      <c r="C25" s="11"/>
      <c r="D25" s="11"/>
      <c r="E25" s="3">
        <f>IF(A25="","",COUNTIF('02_Guest_Database'!F2:F999,A25))</f>
      </c>
      <c r="F25" s="3">
        <f>IF(A25="","",MAX(0,D25-E25))</f>
      </c>
      <c r="G25" s="3">
        <f>IF(A25="","",IFERROR(E25/D25,0))</f>
      </c>
      <c r="H25" s="3">
        <f>IF(A25="","",IF(E25&gt;D25,"חריגת קיבולת",IF(E25=D25,"מלא","תקין")))</f>
      </c>
      <c r="I25" s="11"/>
      <c r="J25" s="11"/>
      <c r="K25" s="11"/>
      <c r="L25" s="11"/>
    </row>
    <row r="26" spans="1:12" x14ac:dyDescent="0.25">
      <c r="A26" s="11"/>
      <c r="B26" s="11"/>
      <c r="C26" s="11"/>
      <c r="D26" s="11"/>
      <c r="E26" s="3">
        <f>IF(A26="","",COUNTIF('02_Guest_Database'!F2:F999,A26))</f>
      </c>
      <c r="F26" s="3">
        <f>IF(A26="","",MAX(0,D26-E26))</f>
      </c>
      <c r="G26" s="3">
        <f>IF(A26="","",IFERROR(E26/D26,0))</f>
      </c>
      <c r="H26" s="3">
        <f>IF(A26="","",IF(E26&gt;D26,"חריגת קיבולת",IF(E26=D26,"מלא","תקין")))</f>
      </c>
      <c r="I26" s="11"/>
      <c r="J26" s="11"/>
      <c r="K26" s="11"/>
      <c r="L26" s="11"/>
    </row>
    <row r="27" spans="1:12" x14ac:dyDescent="0.25">
      <c r="A27" s="11"/>
      <c r="B27" s="11"/>
      <c r="C27" s="11"/>
      <c r="D27" s="11"/>
      <c r="E27" s="3">
        <f>IF(A27="","",COUNTIF('02_Guest_Database'!F2:F999,A27))</f>
      </c>
      <c r="F27" s="3">
        <f>IF(A27="","",MAX(0,D27-E27))</f>
      </c>
      <c r="G27" s="3">
        <f>IF(A27="","",IFERROR(E27/D27,0))</f>
      </c>
      <c r="H27" s="3">
        <f>IF(A27="","",IF(E27&gt;D27,"חריגת קיבולת",IF(E27=D27,"מלא","תקין")))</f>
      </c>
      <c r="I27" s="11"/>
      <c r="J27" s="11"/>
      <c r="K27" s="11"/>
      <c r="L27" s="11"/>
    </row>
    <row r="28" spans="1:12" x14ac:dyDescent="0.25">
      <c r="A28" s="11"/>
      <c r="B28" s="11"/>
      <c r="C28" s="11"/>
      <c r="D28" s="11"/>
      <c r="E28" s="3">
        <f>IF(A28="","",COUNTIF('02_Guest_Database'!F2:F999,A28))</f>
      </c>
      <c r="F28" s="3">
        <f>IF(A28="","",MAX(0,D28-E28))</f>
      </c>
      <c r="G28" s="3">
        <f>IF(A28="","",IFERROR(E28/D28,0))</f>
      </c>
      <c r="H28" s="3">
        <f>IF(A28="","",IF(E28&gt;D28,"חריגת קיבולת",IF(E28=D28,"מלא","תקין")))</f>
      </c>
      <c r="I28" s="11"/>
      <c r="J28" s="11"/>
      <c r="K28" s="11"/>
      <c r="L28" s="11"/>
    </row>
    <row r="29" spans="1:12" x14ac:dyDescent="0.25">
      <c r="A29" s="11"/>
      <c r="B29" s="11"/>
      <c r="C29" s="11"/>
      <c r="D29" s="11"/>
      <c r="E29" s="3">
        <f>IF(A29="","",COUNTIF('02_Guest_Database'!F2:F999,A29))</f>
      </c>
      <c r="F29" s="3">
        <f>IF(A29="","",MAX(0,D29-E29))</f>
      </c>
      <c r="G29" s="3">
        <f>IF(A29="","",IFERROR(E29/D29,0))</f>
      </c>
      <c r="H29" s="3">
        <f>IF(A29="","",IF(E29&gt;D29,"חריגת קיבולת",IF(E29=D29,"מלא","תקין")))</f>
      </c>
      <c r="I29" s="11"/>
      <c r="J29" s="11"/>
      <c r="K29" s="11"/>
      <c r="L29" s="11"/>
    </row>
    <row r="30" spans="1:12" x14ac:dyDescent="0.25">
      <c r="A30" s="11"/>
      <c r="B30" s="11"/>
      <c r="C30" s="11"/>
      <c r="D30" s="11"/>
      <c r="E30" s="3">
        <f>IF(A30="","",COUNTIF('02_Guest_Database'!F2:F999,A30))</f>
      </c>
      <c r="F30" s="3">
        <f>IF(A30="","",MAX(0,D30-E30))</f>
      </c>
      <c r="G30" s="3">
        <f>IF(A30="","",IFERROR(E30/D30,0))</f>
      </c>
      <c r="H30" s="3">
        <f>IF(A30="","",IF(E30&gt;D30,"חריגת קיבולת",IF(E30=D30,"מלא","תקין")))</f>
      </c>
      <c r="I30" s="11"/>
      <c r="J30" s="11"/>
      <c r="K30" s="11"/>
      <c r="L30" s="11"/>
    </row>
    <row r="31" spans="1:12" x14ac:dyDescent="0.25">
      <c r="A31" s="11"/>
      <c r="B31" s="11"/>
      <c r="C31" s="11"/>
      <c r="D31" s="11"/>
      <c r="E31" s="3">
        <f>IF(A31="","",COUNTIF('02_Guest_Database'!F2:F999,A31))</f>
      </c>
      <c r="F31" s="3">
        <f>IF(A31="","",MAX(0,D31-E31))</f>
      </c>
      <c r="G31" s="3">
        <f>IF(A31="","",IFERROR(E31/D31,0))</f>
      </c>
      <c r="H31" s="3">
        <f>IF(A31="","",IF(E31&gt;D31,"חריגת קיבולת",IF(E31=D31,"מלא","תקין")))</f>
      </c>
      <c r="I31" s="11"/>
      <c r="J31" s="11"/>
      <c r="K31" s="11"/>
      <c r="L31" s="11"/>
    </row>
    <row r="32" spans="1:12" x14ac:dyDescent="0.25">
      <c r="A32" s="11"/>
      <c r="B32" s="11"/>
      <c r="C32" s="11"/>
      <c r="D32" s="11"/>
      <c r="E32" s="3">
        <f>IF(A32="","",COUNTIF('02_Guest_Database'!F2:F999,A32))</f>
      </c>
      <c r="F32" s="3">
        <f>IF(A32="","",MAX(0,D32-E32))</f>
      </c>
      <c r="G32" s="3">
        <f>IF(A32="","",IFERROR(E32/D32,0))</f>
      </c>
      <c r="H32" s="3">
        <f>IF(A32="","",IF(E32&gt;D32,"חריגת קיבולת",IF(E32=D32,"מלא","תקין")))</f>
      </c>
      <c r="I32" s="11"/>
      <c r="J32" s="11"/>
      <c r="K32" s="11"/>
      <c r="L32" s="11"/>
    </row>
    <row r="33" spans="1:12" x14ac:dyDescent="0.25">
      <c r="A33" s="11"/>
      <c r="B33" s="11"/>
      <c r="C33" s="11"/>
      <c r="D33" s="11"/>
      <c r="E33" s="3">
        <f>IF(A33="","",COUNTIF('02_Guest_Database'!F2:F999,A33))</f>
      </c>
      <c r="F33" s="3">
        <f>IF(A33="","",MAX(0,D33-E33))</f>
      </c>
      <c r="G33" s="3">
        <f>IF(A33="","",IFERROR(E33/D33,0))</f>
      </c>
      <c r="H33" s="3">
        <f>IF(A33="","",IF(E33&gt;D33,"חריגת קיבולת",IF(E33=D33,"מלא","תקין")))</f>
      </c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3">
        <f>IF(A34="","",COUNTIF('02_Guest_Database'!F2:F999,A34))</f>
      </c>
      <c r="F34" s="3">
        <f>IF(A34="","",MAX(0,D34-E34))</f>
      </c>
      <c r="G34" s="3">
        <f>IF(A34="","",IFERROR(E34/D34,0))</f>
      </c>
      <c r="H34" s="3">
        <f>IF(A34="","",IF(E34&gt;D34,"חריגת קיבולת",IF(E34=D34,"מלא","תקין")))</f>
      </c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3">
        <f>IF(A35="","",COUNTIF('02_Guest_Database'!F2:F999,A35))</f>
      </c>
      <c r="F35" s="3">
        <f>IF(A35="","",MAX(0,D35-E35))</f>
      </c>
      <c r="G35" s="3">
        <f>IF(A35="","",IFERROR(E35/D35,0))</f>
      </c>
      <c r="H35" s="3">
        <f>IF(A35="","",IF(E35&gt;D35,"חריגת קיבולת",IF(E35=D35,"מלא","תקין")))</f>
      </c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3">
        <f>IF(A36="","",COUNTIF('02_Guest_Database'!F2:F999,A36))</f>
      </c>
      <c r="F36" s="3">
        <f>IF(A36="","",MAX(0,D36-E36))</f>
      </c>
      <c r="G36" s="3">
        <f>IF(A36="","",IFERROR(E36/D36,0))</f>
      </c>
      <c r="H36" s="3">
        <f>IF(A36="","",IF(E36&gt;D36,"חריגת קיבולת",IF(E36=D36,"מלא","תקין")))</f>
      </c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3">
        <f>IF(A37="","",COUNTIF('02_Guest_Database'!F2:F999,A37))</f>
      </c>
      <c r="F37" s="3">
        <f>IF(A37="","",MAX(0,D37-E37))</f>
      </c>
      <c r="G37" s="3">
        <f>IF(A37="","",IFERROR(E37/D37,0))</f>
      </c>
      <c r="H37" s="3">
        <f>IF(A37="","",IF(E37&gt;D37,"חריגת קיבולת",IF(E37=D37,"מלא","תקין")))</f>
      </c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3">
        <f>IF(A38="","",COUNTIF('02_Guest_Database'!F2:F999,A38))</f>
      </c>
      <c r="F38" s="3">
        <f>IF(A38="","",MAX(0,D38-E38))</f>
      </c>
      <c r="G38" s="3">
        <f>IF(A38="","",IFERROR(E38/D38,0))</f>
      </c>
      <c r="H38" s="3">
        <f>IF(A38="","",IF(E38&gt;D38,"חריגת קיבולת",IF(E38=D38,"מלא","תקין")))</f>
      </c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3">
        <f>IF(A39="","",COUNTIF('02_Guest_Database'!F2:F999,A39))</f>
      </c>
      <c r="F39" s="3">
        <f>IF(A39="","",MAX(0,D39-E39))</f>
      </c>
      <c r="G39" s="3">
        <f>IF(A39="","",IFERROR(E39/D39,0))</f>
      </c>
      <c r="H39" s="3">
        <f>IF(A39="","",IF(E39&gt;D39,"חריגת קיבולת",IF(E39=D39,"מלא","תקין")))</f>
      </c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3">
        <f>IF(A40="","",COUNTIF('02_Guest_Database'!F2:F999,A40))</f>
      </c>
      <c r="F40" s="3">
        <f>IF(A40="","",MAX(0,D40-E40))</f>
      </c>
      <c r="G40" s="3">
        <f>IF(A40="","",IFERROR(E40/D40,0))</f>
      </c>
      <c r="H40" s="3">
        <f>IF(A40="","",IF(E40&gt;D40,"חריגת קיבולת",IF(E40=D40,"מלא","תקין")))</f>
      </c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3">
        <f>IF(A41="","",COUNTIF('02_Guest_Database'!F2:F999,A41))</f>
      </c>
      <c r="F41" s="3">
        <f>IF(A41="","",MAX(0,D41-E41))</f>
      </c>
      <c r="G41" s="3">
        <f>IF(A41="","",IFERROR(E41/D41,0))</f>
      </c>
      <c r="H41" s="3">
        <f>IF(A41="","",IF(E41&gt;D41,"חריגת קיבולת",IF(E41=D41,"מלא","תקין")))</f>
      </c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3">
        <f>IF(A42="","",COUNTIF('02_Guest_Database'!F2:F999,A42))</f>
      </c>
      <c r="F42" s="3">
        <f>IF(A42="","",MAX(0,D42-E42))</f>
      </c>
      <c r="G42" s="3">
        <f>IF(A42="","",IFERROR(E42/D42,0))</f>
      </c>
      <c r="H42" s="3">
        <f>IF(A42="","",IF(E42&gt;D42,"חריגת קיבולת",IF(E42=D42,"מלא","תקין")))</f>
      </c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3">
        <f>IF(A43="","",COUNTIF('02_Guest_Database'!F2:F999,A43))</f>
      </c>
      <c r="F43" s="3">
        <f>IF(A43="","",MAX(0,D43-E43))</f>
      </c>
      <c r="G43" s="3">
        <f>IF(A43="","",IFERROR(E43/D43,0))</f>
      </c>
      <c r="H43" s="3">
        <f>IF(A43="","",IF(E43&gt;D43,"חריגת קיבולת",IF(E43=D43,"מלא","תקין")))</f>
      </c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3">
        <f>IF(A44="","",COUNTIF('02_Guest_Database'!F2:F999,A44))</f>
      </c>
      <c r="F44" s="3">
        <f>IF(A44="","",MAX(0,D44-E44))</f>
      </c>
      <c r="G44" s="3">
        <f>IF(A44="","",IFERROR(E44/D44,0))</f>
      </c>
      <c r="H44" s="3">
        <f>IF(A44="","",IF(E44&gt;D44,"חריגת קיבולת",IF(E44=D44,"מלא","תקין")))</f>
      </c>
      <c r="I44" s="11"/>
      <c r="J44" s="11"/>
      <c r="K44" s="11"/>
      <c r="L44" s="11"/>
    </row>
    <row r="45" spans="1:12" x14ac:dyDescent="0.25">
      <c r="A45" s="11"/>
      <c r="B45" s="11"/>
      <c r="C45" s="11"/>
      <c r="D45" s="11"/>
      <c r="E45" s="3">
        <f>IF(A45="","",COUNTIF('02_Guest_Database'!F2:F999,A45))</f>
      </c>
      <c r="F45" s="3">
        <f>IF(A45="","",MAX(0,D45-E45))</f>
      </c>
      <c r="G45" s="3">
        <f>IF(A45="","",IFERROR(E45/D45,0))</f>
      </c>
      <c r="H45" s="3">
        <f>IF(A45="","",IF(E45&gt;D45,"חריגת קיבולת",IF(E45=D45,"מלא","תקין")))</f>
      </c>
      <c r="I45" s="11"/>
      <c r="J45" s="11"/>
      <c r="K45" s="11"/>
      <c r="L45" s="11"/>
    </row>
    <row r="46" spans="1:12" x14ac:dyDescent="0.25">
      <c r="A46" s="11"/>
      <c r="B46" s="11"/>
      <c r="C46" s="11"/>
      <c r="D46" s="11"/>
      <c r="E46" s="3">
        <f>IF(A46="","",COUNTIF('02_Guest_Database'!F2:F999,A46))</f>
      </c>
      <c r="F46" s="3">
        <f>IF(A46="","",MAX(0,D46-E46))</f>
      </c>
      <c r="G46" s="3">
        <f>IF(A46="","",IFERROR(E46/D46,0))</f>
      </c>
      <c r="H46" s="3">
        <f>IF(A46="","",IF(E46&gt;D46,"חריגת קיבולת",IF(E46=D46,"מלא","תקין")))</f>
      </c>
      <c r="I46" s="11"/>
      <c r="J46" s="11"/>
      <c r="K46" s="11"/>
      <c r="L46" s="11"/>
    </row>
    <row r="47" spans="1:12" x14ac:dyDescent="0.25">
      <c r="A47" s="11"/>
      <c r="B47" s="11"/>
      <c r="C47" s="11"/>
      <c r="D47" s="11"/>
      <c r="E47" s="3">
        <f>IF(A47="","",COUNTIF('02_Guest_Database'!F2:F999,A47))</f>
      </c>
      <c r="F47" s="3">
        <f>IF(A47="","",MAX(0,D47-E47))</f>
      </c>
      <c r="G47" s="3">
        <f>IF(A47="","",IFERROR(E47/D47,0))</f>
      </c>
      <c r="H47" s="3">
        <f>IF(A47="","",IF(E47&gt;D47,"חריגת קיבולת",IF(E47=D47,"מלא","תקין")))</f>
      </c>
      <c r="I47" s="11"/>
      <c r="J47" s="11"/>
      <c r="K47" s="11"/>
      <c r="L47" s="11"/>
    </row>
    <row r="48" spans="1:12" x14ac:dyDescent="0.25">
      <c r="A48" s="11"/>
      <c r="B48" s="11"/>
      <c r="C48" s="11"/>
      <c r="D48" s="11"/>
      <c r="E48" s="3">
        <f>IF(A48="","",COUNTIF('02_Guest_Database'!F2:F999,A48))</f>
      </c>
      <c r="F48" s="3">
        <f>IF(A48="","",MAX(0,D48-E48))</f>
      </c>
      <c r="G48" s="3">
        <f>IF(A48="","",IFERROR(E48/D48,0))</f>
      </c>
      <c r="H48" s="3">
        <f>IF(A48="","",IF(E48&gt;D48,"חריגת קיבולת",IF(E48=D48,"מלא","תקין")))</f>
      </c>
      <c r="I48" s="11"/>
      <c r="J48" s="11"/>
      <c r="K48" s="11"/>
      <c r="L48" s="11"/>
    </row>
    <row r="49" spans="1:12" x14ac:dyDescent="0.25">
      <c r="A49" s="11"/>
      <c r="B49" s="11"/>
      <c r="C49" s="11"/>
      <c r="D49" s="11"/>
      <c r="E49" s="3">
        <f>IF(A49="","",COUNTIF('02_Guest_Database'!F2:F999,A49))</f>
      </c>
      <c r="F49" s="3">
        <f>IF(A49="","",MAX(0,D49-E49))</f>
      </c>
      <c r="G49" s="3">
        <f>IF(A49="","",IFERROR(E49/D49,0))</f>
      </c>
      <c r="H49" s="3">
        <f>IF(A49="","",IF(E49&gt;D49,"חריגת קיבולת",IF(E49=D49,"מלא","תקין")))</f>
      </c>
      <c r="I49" s="11"/>
      <c r="J49" s="11"/>
      <c r="K49" s="11"/>
      <c r="L49" s="11"/>
    </row>
    <row r="50" spans="1:12" x14ac:dyDescent="0.25">
      <c r="A50" s="11"/>
      <c r="B50" s="11"/>
      <c r="C50" s="11"/>
      <c r="D50" s="11"/>
      <c r="E50" s="3">
        <f>IF(A50="","",COUNTIF('02_Guest_Database'!F2:F999,A50))</f>
      </c>
      <c r="F50" s="3">
        <f>IF(A50="","",MAX(0,D50-E50))</f>
      </c>
      <c r="G50" s="3">
        <f>IF(A50="","",IFERROR(E50/D50,0))</f>
      </c>
      <c r="H50" s="3">
        <f>IF(A50="","",IF(E50&gt;D50,"חריגת קיבולת",IF(E50=D50,"מלא","תקין")))</f>
      </c>
      <c r="I50" s="11"/>
      <c r="J50" s="11"/>
      <c r="K50" s="11"/>
      <c r="L50" s="11"/>
    </row>
    <row r="51" spans="1:12" x14ac:dyDescent="0.25">
      <c r="A51" s="11"/>
      <c r="B51" s="11"/>
      <c r="C51" s="11"/>
      <c r="D51" s="11"/>
      <c r="E51" s="3">
        <f>IF(A51="","",COUNTIF('02_Guest_Database'!F2:F999,A51))</f>
      </c>
      <c r="F51" s="3">
        <f>IF(A51="","",MAX(0,D51-E51))</f>
      </c>
      <c r="G51" s="3">
        <f>IF(A51="","",IFERROR(E51/D51,0))</f>
      </c>
      <c r="H51" s="3">
        <f>IF(A51="","",IF(E51&gt;D51,"חריגת קיבולת",IF(E51=D51,"מלא","תקין")))</f>
      </c>
      <c r="I51" s="11"/>
      <c r="J51" s="11"/>
      <c r="K51" s="11"/>
      <c r="L51" s="11"/>
    </row>
    <row r="52" spans="1:12" x14ac:dyDescent="0.25">
      <c r="A52" s="11"/>
      <c r="B52" s="11"/>
      <c r="C52" s="11"/>
      <c r="D52" s="11"/>
      <c r="E52" s="3">
        <f>IF(A52="","",COUNTIF('02_Guest_Database'!F2:F999,A52))</f>
      </c>
      <c r="F52" s="3">
        <f>IF(A52="","",MAX(0,D52-E52))</f>
      </c>
      <c r="G52" s="3">
        <f>IF(A52="","",IFERROR(E52/D52,0))</f>
      </c>
      <c r="H52" s="3">
        <f>IF(A52="","",IF(E52&gt;D52,"חריגת קיבולת",IF(E52=D52,"מלא","תקין")))</f>
      </c>
      <c r="I52" s="11"/>
      <c r="J52" s="11"/>
      <c r="K52" s="11"/>
      <c r="L52" s="11"/>
    </row>
    <row r="53" spans="1:12" x14ac:dyDescent="0.25">
      <c r="A53" s="11"/>
      <c r="B53" s="11"/>
      <c r="C53" s="11"/>
      <c r="D53" s="11"/>
      <c r="E53" s="3">
        <f>IF(A53="","",COUNTIF('02_Guest_Database'!F2:F999,A53))</f>
      </c>
      <c r="F53" s="3">
        <f>IF(A53="","",MAX(0,D53-E53))</f>
      </c>
      <c r="G53" s="3">
        <f>IF(A53="","",IFERROR(E53/D53,0))</f>
      </c>
      <c r="H53" s="3">
        <f>IF(A53="","",IF(E53&gt;D53,"חריגת קיבולת",IF(E53=D53,"מלא","תקין")))</f>
      </c>
      <c r="I53" s="11"/>
      <c r="J53" s="11"/>
      <c r="K53" s="11"/>
      <c r="L53" s="11"/>
    </row>
    <row r="54" spans="1:12" x14ac:dyDescent="0.25">
      <c r="A54" s="11"/>
      <c r="B54" s="11"/>
      <c r="C54" s="11"/>
      <c r="D54" s="11"/>
      <c r="E54" s="3">
        <f>IF(A54="","",COUNTIF('02_Guest_Database'!F2:F999,A54))</f>
      </c>
      <c r="F54" s="3">
        <f>IF(A54="","",MAX(0,D54-E54))</f>
      </c>
      <c r="G54" s="3">
        <f>IF(A54="","",IFERROR(E54/D54,0))</f>
      </c>
      <c r="H54" s="3">
        <f>IF(A54="","",IF(E54&gt;D54,"חריגת קיבולת",IF(E54=D54,"מלא","תקין")))</f>
      </c>
      <c r="I54" s="11"/>
      <c r="J54" s="11"/>
      <c r="K54" s="11"/>
      <c r="L54" s="11"/>
    </row>
    <row r="55" spans="1:12" x14ac:dyDescent="0.25">
      <c r="A55" s="11"/>
      <c r="B55" s="11"/>
      <c r="C55" s="11"/>
      <c r="D55" s="11"/>
      <c r="E55" s="3">
        <f>IF(A55="","",COUNTIF('02_Guest_Database'!F2:F999,A55))</f>
      </c>
      <c r="F55" s="3">
        <f>IF(A55="","",MAX(0,D55-E55))</f>
      </c>
      <c r="G55" s="3">
        <f>IF(A55="","",IFERROR(E55/D55,0))</f>
      </c>
      <c r="H55" s="3">
        <f>IF(A55="","",IF(E55&gt;D55,"חריגת קיבולת",IF(E55=D55,"מלא","תקין")))</f>
      </c>
      <c r="I55" s="11"/>
      <c r="J55" s="11"/>
      <c r="K55" s="11"/>
      <c r="L55" s="11"/>
    </row>
    <row r="56" spans="1:12" x14ac:dyDescent="0.25">
      <c r="A56" s="11"/>
      <c r="B56" s="11"/>
      <c r="C56" s="11"/>
      <c r="D56" s="11"/>
      <c r="E56" s="3">
        <f>IF(A56="","",COUNTIF('02_Guest_Database'!F2:F999,A56))</f>
      </c>
      <c r="F56" s="3">
        <f>IF(A56="","",MAX(0,D56-E56))</f>
      </c>
      <c r="G56" s="3">
        <f>IF(A56="","",IFERROR(E56/D56,0))</f>
      </c>
      <c r="H56" s="3">
        <f>IF(A56="","",IF(E56&gt;D56,"חריגת קיבולת",IF(E56=D56,"מלא","תקין")))</f>
      </c>
      <c r="I56" s="11"/>
      <c r="J56" s="11"/>
      <c r="K56" s="11"/>
      <c r="L56" s="11"/>
    </row>
    <row r="57" spans="1:12" x14ac:dyDescent="0.25">
      <c r="A57" s="11"/>
      <c r="B57" s="11"/>
      <c r="C57" s="11"/>
      <c r="D57" s="11"/>
      <c r="E57" s="3">
        <f>IF(A57="","",COUNTIF('02_Guest_Database'!F2:F999,A57))</f>
      </c>
      <c r="F57" s="3">
        <f>IF(A57="","",MAX(0,D57-E57))</f>
      </c>
      <c r="G57" s="3">
        <f>IF(A57="","",IFERROR(E57/D57,0))</f>
      </c>
      <c r="H57" s="3">
        <f>IF(A57="","",IF(E57&gt;D57,"חריגת קיבולת",IF(E57=D57,"מלא","תקין")))</f>
      </c>
      <c r="I57" s="11"/>
      <c r="J57" s="11"/>
      <c r="K57" s="11"/>
      <c r="L57" s="11"/>
    </row>
    <row r="58" spans="1:12" x14ac:dyDescent="0.25">
      <c r="A58" s="11"/>
      <c r="B58" s="11"/>
      <c r="C58" s="11"/>
      <c r="D58" s="11"/>
      <c r="E58" s="3">
        <f>IF(A58="","",COUNTIF('02_Guest_Database'!F2:F999,A58))</f>
      </c>
      <c r="F58" s="3">
        <f>IF(A58="","",MAX(0,D58-E58))</f>
      </c>
      <c r="G58" s="3">
        <f>IF(A58="","",IFERROR(E58/D58,0))</f>
      </c>
      <c r="H58" s="3">
        <f>IF(A58="","",IF(E58&gt;D58,"חריגת קיבולת",IF(E58=D58,"מלא","תקין")))</f>
      </c>
      <c r="I58" s="11"/>
      <c r="J58" s="11"/>
      <c r="K58" s="11"/>
      <c r="L58" s="11"/>
    </row>
    <row r="59" spans="1:12" x14ac:dyDescent="0.25">
      <c r="A59" s="11"/>
      <c r="B59" s="11"/>
      <c r="C59" s="11"/>
      <c r="D59" s="11"/>
      <c r="E59" s="3">
        <f>IF(A59="","",COUNTIF('02_Guest_Database'!F2:F999,A59))</f>
      </c>
      <c r="F59" s="3">
        <f>IF(A59="","",MAX(0,D59-E59))</f>
      </c>
      <c r="G59" s="3">
        <f>IF(A59="","",IFERROR(E59/D59,0))</f>
      </c>
      <c r="H59" s="3">
        <f>IF(A59="","",IF(E59&gt;D59,"חריגת קיבולת",IF(E59=D59,"מלא","תקין")))</f>
      </c>
      <c r="I59" s="11"/>
      <c r="J59" s="11"/>
      <c r="K59" s="11"/>
      <c r="L59" s="11"/>
    </row>
    <row r="60" spans="1:12" x14ac:dyDescent="0.25">
      <c r="A60" s="11"/>
      <c r="B60" s="11"/>
      <c r="C60" s="11"/>
      <c r="D60" s="11"/>
      <c r="E60" s="3">
        <f>IF(A60="","",COUNTIF('02_Guest_Database'!F2:F999,A60))</f>
      </c>
      <c r="F60" s="3">
        <f>IF(A60="","",MAX(0,D60-E60))</f>
      </c>
      <c r="G60" s="3">
        <f>IF(A60="","",IFERROR(E60/D60,0))</f>
      </c>
      <c r="H60" s="3">
        <f>IF(A60="","",IF(E60&gt;D60,"חריגת קיבולת",IF(E60=D60,"מלא","תקין")))</f>
      </c>
      <c r="I60" s="11"/>
      <c r="J60" s="11"/>
      <c r="K60" s="11"/>
      <c r="L60" s="11"/>
    </row>
    <row r="61" spans="1:12" x14ac:dyDescent="0.25">
      <c r="A61" s="11"/>
      <c r="B61" s="11"/>
      <c r="C61" s="11"/>
      <c r="D61" s="11"/>
      <c r="E61" s="3">
        <f>IF(A61="","",COUNTIF('02_Guest_Database'!F2:F999,A61))</f>
      </c>
      <c r="F61" s="3">
        <f>IF(A61="","",MAX(0,D61-E61))</f>
      </c>
      <c r="G61" s="3">
        <f>IF(A61="","",IFERROR(E61/D61,0))</f>
      </c>
      <c r="H61" s="3">
        <f>IF(A61="","",IF(E61&gt;D61,"חריגת קיבולת",IF(E61=D61,"מלא","תקין")))</f>
      </c>
      <c r="I61" s="11"/>
      <c r="J61" s="11"/>
      <c r="K61" s="11"/>
      <c r="L61" s="11"/>
    </row>
    <row r="62" spans="1:12" x14ac:dyDescent="0.25">
      <c r="A62" s="11"/>
      <c r="B62" s="11"/>
      <c r="C62" s="11"/>
      <c r="D62" s="11"/>
      <c r="E62" s="3">
        <f>IF(A62="","",COUNTIF('02_Guest_Database'!F2:F999,A62))</f>
      </c>
      <c r="F62" s="3">
        <f>IF(A62="","",MAX(0,D62-E62))</f>
      </c>
      <c r="G62" s="3">
        <f>IF(A62="","",IFERROR(E62/D62,0))</f>
      </c>
      <c r="H62" s="3">
        <f>IF(A62="","",IF(E62&gt;D62,"חריגת קיבולת",IF(E62=D62,"מלא","תקין")))</f>
      </c>
      <c r="I62" s="11"/>
      <c r="J62" s="11"/>
      <c r="K62" s="11"/>
      <c r="L62" s="11"/>
    </row>
    <row r="63" spans="1:12" x14ac:dyDescent="0.25">
      <c r="A63" s="11"/>
      <c r="B63" s="11"/>
      <c r="C63" s="11"/>
      <c r="D63" s="11"/>
      <c r="E63" s="3">
        <f>IF(A63="","",COUNTIF('02_Guest_Database'!F2:F999,A63))</f>
      </c>
      <c r="F63" s="3">
        <f>IF(A63="","",MAX(0,D63-E63))</f>
      </c>
      <c r="G63" s="3">
        <f>IF(A63="","",IFERROR(E63/D63,0))</f>
      </c>
      <c r="H63" s="3">
        <f>IF(A63="","",IF(E63&gt;D63,"חריגת קיבולת",IF(E63=D63,"מלא","תקין")))</f>
      </c>
      <c r="I63" s="11"/>
      <c r="J63" s="11"/>
      <c r="K63" s="11"/>
      <c r="L63" s="11"/>
    </row>
    <row r="64" spans="1:12" x14ac:dyDescent="0.25">
      <c r="A64" s="11"/>
      <c r="B64" s="11"/>
      <c r="C64" s="11"/>
      <c r="D64" s="11"/>
      <c r="E64" s="3">
        <f>IF(A64="","",COUNTIF('02_Guest_Database'!F2:F999,A64))</f>
      </c>
      <c r="F64" s="3">
        <f>IF(A64="","",MAX(0,D64-E64))</f>
      </c>
      <c r="G64" s="3">
        <f>IF(A64="","",IFERROR(E64/D64,0))</f>
      </c>
      <c r="H64" s="3">
        <f>IF(A64="","",IF(E64&gt;D64,"חריגת קיבולת",IF(E64=D64,"מלא","תקין")))</f>
      </c>
      <c r="I64" s="11"/>
      <c r="J64" s="11"/>
      <c r="K64" s="11"/>
      <c r="L64" s="11"/>
    </row>
    <row r="65" spans="1:12" x14ac:dyDescent="0.25">
      <c r="A65" s="11"/>
      <c r="B65" s="11"/>
      <c r="C65" s="11"/>
      <c r="D65" s="11"/>
      <c r="E65" s="3">
        <f>IF(A65="","",COUNTIF('02_Guest_Database'!F2:F999,A65))</f>
      </c>
      <c r="F65" s="3">
        <f>IF(A65="","",MAX(0,D65-E65))</f>
      </c>
      <c r="G65" s="3">
        <f>IF(A65="","",IFERROR(E65/D65,0))</f>
      </c>
      <c r="H65" s="3">
        <f>IF(A65="","",IF(E65&gt;D65,"חריגת קיבולת",IF(E65=D65,"מלא","תקין")))</f>
      </c>
      <c r="I65" s="11"/>
      <c r="J65" s="11"/>
      <c r="K65" s="11"/>
      <c r="L65" s="11"/>
    </row>
    <row r="66" spans="1:12" x14ac:dyDescent="0.25">
      <c r="A66" s="11"/>
      <c r="B66" s="11"/>
      <c r="C66" s="11"/>
      <c r="D66" s="11"/>
      <c r="E66" s="3">
        <f>IF(A66="","",COUNTIF('02_Guest_Database'!F2:F999,A66))</f>
      </c>
      <c r="F66" s="3">
        <f>IF(A66="","",MAX(0,D66-E66))</f>
      </c>
      <c r="G66" s="3">
        <f>IF(A66="","",IFERROR(E66/D66,0))</f>
      </c>
      <c r="H66" s="3">
        <f>IF(A66="","",IF(E66&gt;D66,"חריגת קיבולת",IF(E66=D66,"מלא","תקין")))</f>
      </c>
      <c r="I66" s="11"/>
      <c r="J66" s="11"/>
      <c r="K66" s="11"/>
      <c r="L66" s="11"/>
    </row>
    <row r="67" spans="1:12" x14ac:dyDescent="0.25">
      <c r="A67" s="11"/>
      <c r="B67" s="11"/>
      <c r="C67" s="11"/>
      <c r="D67" s="11"/>
      <c r="E67" s="3">
        <f>IF(A67="","",COUNTIF('02_Guest_Database'!F2:F999,A67))</f>
      </c>
      <c r="F67" s="3">
        <f>IF(A67="","",MAX(0,D67-E67))</f>
      </c>
      <c r="G67" s="3">
        <f>IF(A67="","",IFERROR(E67/D67,0))</f>
      </c>
      <c r="H67" s="3">
        <f>IF(A67="","",IF(E67&gt;D67,"חריגת קיבולת",IF(E67=D67,"מלא","תקין")))</f>
      </c>
      <c r="I67" s="11"/>
      <c r="J67" s="11"/>
      <c r="K67" s="11"/>
      <c r="L67" s="11"/>
    </row>
    <row r="68" spans="1:12" x14ac:dyDescent="0.25">
      <c r="A68" s="11"/>
      <c r="B68" s="11"/>
      <c r="C68" s="11"/>
      <c r="D68" s="11"/>
      <c r="E68" s="3">
        <f>IF(A68="","",COUNTIF('02_Guest_Database'!F2:F999,A68))</f>
      </c>
      <c r="F68" s="3">
        <f>IF(A68="","",MAX(0,D68-E68))</f>
      </c>
      <c r="G68" s="3">
        <f>IF(A68="","",IFERROR(E68/D68,0))</f>
      </c>
      <c r="H68" s="3">
        <f>IF(A68="","",IF(E68&gt;D68,"חריגת קיבולת",IF(E68=D68,"מלא","תקין")))</f>
      </c>
      <c r="I68" s="11"/>
      <c r="J68" s="11"/>
      <c r="K68" s="11"/>
      <c r="L68" s="11"/>
    </row>
    <row r="69" spans="1:12" x14ac:dyDescent="0.25">
      <c r="A69" s="11"/>
      <c r="B69" s="11"/>
      <c r="C69" s="11"/>
      <c r="D69" s="11"/>
      <c r="E69" s="3">
        <f>IF(A69="","",COUNTIF('02_Guest_Database'!F2:F999,A69))</f>
      </c>
      <c r="F69" s="3">
        <f>IF(A69="","",MAX(0,D69-E69))</f>
      </c>
      <c r="G69" s="3">
        <f>IF(A69="","",IFERROR(E69/D69,0))</f>
      </c>
      <c r="H69" s="3">
        <f>IF(A69="","",IF(E69&gt;D69,"חריגת קיבולת",IF(E69=D69,"מלא","תקין")))</f>
      </c>
      <c r="I69" s="11"/>
      <c r="J69" s="11"/>
      <c r="K69" s="11"/>
      <c r="L69" s="11"/>
    </row>
    <row r="70" spans="1:12" x14ac:dyDescent="0.25">
      <c r="A70" s="11"/>
      <c r="B70" s="11"/>
      <c r="C70" s="11"/>
      <c r="D70" s="11"/>
      <c r="E70" s="3">
        <f>IF(A70="","",COUNTIF('02_Guest_Database'!F2:F999,A70))</f>
      </c>
      <c r="F70" s="3">
        <f>IF(A70="","",MAX(0,D70-E70))</f>
      </c>
      <c r="G70" s="3">
        <f>IF(A70="","",IFERROR(E70/D70,0))</f>
      </c>
      <c r="H70" s="3">
        <f>IF(A70="","",IF(E70&gt;D70,"חריגת קיבולת",IF(E70=D70,"מלא","תקין")))</f>
      </c>
      <c r="I70" s="11"/>
      <c r="J70" s="11"/>
      <c r="K70" s="11"/>
      <c r="L70" s="11"/>
    </row>
    <row r="71" spans="1:12" x14ac:dyDescent="0.25">
      <c r="A71" s="11"/>
      <c r="B71" s="11"/>
      <c r="C71" s="11"/>
      <c r="D71" s="11"/>
      <c r="E71" s="3">
        <f>IF(A71="","",COUNTIF('02_Guest_Database'!F2:F999,A71))</f>
      </c>
      <c r="F71" s="3">
        <f>IF(A71="","",MAX(0,D71-E71))</f>
      </c>
      <c r="G71" s="3">
        <f>IF(A71="","",IFERROR(E71/D71,0))</f>
      </c>
      <c r="H71" s="3">
        <f>IF(A71="","",IF(E71&gt;D71,"חריגת קיבולת",IF(E71=D71,"מלא","תקין")))</f>
      </c>
      <c r="I71" s="11"/>
      <c r="J71" s="11"/>
      <c r="K71" s="11"/>
      <c r="L71" s="11"/>
    </row>
    <row r="72" spans="1:12" x14ac:dyDescent="0.25">
      <c r="A72" s="11"/>
      <c r="B72" s="11"/>
      <c r="C72" s="11"/>
      <c r="D72" s="11"/>
      <c r="E72" s="3">
        <f>IF(A72="","",COUNTIF('02_Guest_Database'!F2:F999,A72))</f>
      </c>
      <c r="F72" s="3">
        <f>IF(A72="","",MAX(0,D72-E72))</f>
      </c>
      <c r="G72" s="3">
        <f>IF(A72="","",IFERROR(E72/D72,0))</f>
      </c>
      <c r="H72" s="3">
        <f>IF(A72="","",IF(E72&gt;D72,"חריגת קיבולת",IF(E72=D72,"מלא","תקין")))</f>
      </c>
      <c r="I72" s="11"/>
      <c r="J72" s="11"/>
      <c r="K72" s="11"/>
      <c r="L72" s="11"/>
    </row>
    <row r="73" spans="1:12" x14ac:dyDescent="0.25">
      <c r="A73" s="11"/>
      <c r="B73" s="11"/>
      <c r="C73" s="11"/>
      <c r="D73" s="11"/>
      <c r="E73" s="3">
        <f>IF(A73="","",COUNTIF('02_Guest_Database'!F2:F999,A73))</f>
      </c>
      <c r="F73" s="3">
        <f>IF(A73="","",MAX(0,D73-E73))</f>
      </c>
      <c r="G73" s="3">
        <f>IF(A73="","",IFERROR(E73/D73,0))</f>
      </c>
      <c r="H73" s="3">
        <f>IF(A73="","",IF(E73&gt;D73,"חריגת קיבולת",IF(E73=D73,"מלא","תקין")))</f>
      </c>
      <c r="I73" s="11"/>
      <c r="J73" s="11"/>
      <c r="K73" s="11"/>
      <c r="L73" s="11"/>
    </row>
    <row r="74" spans="1:12" x14ac:dyDescent="0.25">
      <c r="A74" s="11"/>
      <c r="B74" s="11"/>
      <c r="C74" s="11"/>
      <c r="D74" s="11"/>
      <c r="E74" s="3">
        <f>IF(A74="","",COUNTIF('02_Guest_Database'!F2:F999,A74))</f>
      </c>
      <c r="F74" s="3">
        <f>IF(A74="","",MAX(0,D74-E74))</f>
      </c>
      <c r="G74" s="3">
        <f>IF(A74="","",IFERROR(E74/D74,0))</f>
      </c>
      <c r="H74" s="3">
        <f>IF(A74="","",IF(E74&gt;D74,"חריגת קיבולת",IF(E74=D74,"מלא","תקין")))</f>
      </c>
      <c r="I74" s="11"/>
      <c r="J74" s="11"/>
      <c r="K74" s="11"/>
      <c r="L74" s="11"/>
    </row>
    <row r="75" spans="1:12" x14ac:dyDescent="0.25">
      <c r="A75" s="11"/>
      <c r="B75" s="11"/>
      <c r="C75" s="11"/>
      <c r="D75" s="11"/>
      <c r="E75" s="3">
        <f>IF(A75="","",COUNTIF('02_Guest_Database'!F2:F999,A75))</f>
      </c>
      <c r="F75" s="3">
        <f>IF(A75="","",MAX(0,D75-E75))</f>
      </c>
      <c r="G75" s="3">
        <f>IF(A75="","",IFERROR(E75/D75,0))</f>
      </c>
      <c r="H75" s="3">
        <f>IF(A75="","",IF(E75&gt;D75,"חריגת קיבולת",IF(E75=D75,"מלא","תקין")))</f>
      </c>
      <c r="I75" s="11"/>
      <c r="J75" s="11"/>
      <c r="K75" s="11"/>
      <c r="L75" s="11"/>
    </row>
    <row r="76" spans="1:12" x14ac:dyDescent="0.25">
      <c r="A76" s="11"/>
      <c r="B76" s="11"/>
      <c r="C76" s="11"/>
      <c r="D76" s="11"/>
      <c r="E76" s="3">
        <f>IF(A76="","",COUNTIF('02_Guest_Database'!F2:F999,A76))</f>
      </c>
      <c r="F76" s="3">
        <f>IF(A76="","",MAX(0,D76-E76))</f>
      </c>
      <c r="G76" s="3">
        <f>IF(A76="","",IFERROR(E76/D76,0))</f>
      </c>
      <c r="H76" s="3">
        <f>IF(A76="","",IF(E76&gt;D76,"חריגת קיבולת",IF(E76=D76,"מלא","תקין")))</f>
      </c>
      <c r="I76" s="11"/>
      <c r="J76" s="11"/>
      <c r="K76" s="11"/>
      <c r="L76" s="11"/>
    </row>
    <row r="77" spans="1:12" x14ac:dyDescent="0.25">
      <c r="A77" s="11"/>
      <c r="B77" s="11"/>
      <c r="C77" s="11"/>
      <c r="D77" s="11"/>
      <c r="E77" s="3">
        <f>IF(A77="","",COUNTIF('02_Guest_Database'!F2:F999,A77))</f>
      </c>
      <c r="F77" s="3">
        <f>IF(A77="","",MAX(0,D77-E77))</f>
      </c>
      <c r="G77" s="3">
        <f>IF(A77="","",IFERROR(E77/D77,0))</f>
      </c>
      <c r="H77" s="3">
        <f>IF(A77="","",IF(E77&gt;D77,"חריגת קיבולת",IF(E77=D77,"מלא","תקין")))</f>
      </c>
      <c r="I77" s="11"/>
      <c r="J77" s="11"/>
      <c r="K77" s="11"/>
      <c r="L77" s="11"/>
    </row>
    <row r="78" spans="1:12" x14ac:dyDescent="0.25">
      <c r="A78" s="11"/>
      <c r="B78" s="11"/>
      <c r="C78" s="11"/>
      <c r="D78" s="11"/>
      <c r="E78" s="3">
        <f>IF(A78="","",COUNTIF('02_Guest_Database'!F2:F999,A78))</f>
      </c>
      <c r="F78" s="3">
        <f>IF(A78="","",MAX(0,D78-E78))</f>
      </c>
      <c r="G78" s="3">
        <f>IF(A78="","",IFERROR(E78/D78,0))</f>
      </c>
      <c r="H78" s="3">
        <f>IF(A78="","",IF(E78&gt;D78,"חריגת קיבולת",IF(E78=D78,"מלא","תקין")))</f>
      </c>
      <c r="I78" s="11"/>
      <c r="J78" s="11"/>
      <c r="K78" s="11"/>
      <c r="L78" s="11"/>
    </row>
    <row r="79" spans="1:12" x14ac:dyDescent="0.25">
      <c r="A79" s="11"/>
      <c r="B79" s="11"/>
      <c r="C79" s="11"/>
      <c r="D79" s="11"/>
      <c r="E79" s="3">
        <f>IF(A79="","",COUNTIF('02_Guest_Database'!F2:F999,A79))</f>
      </c>
      <c r="F79" s="3">
        <f>IF(A79="","",MAX(0,D79-E79))</f>
      </c>
      <c r="G79" s="3">
        <f>IF(A79="","",IFERROR(E79/D79,0))</f>
      </c>
      <c r="H79" s="3">
        <f>IF(A79="","",IF(E79&gt;D79,"חריגת קיבולת",IF(E79=D79,"מלא","תקין")))</f>
      </c>
      <c r="I79" s="11"/>
      <c r="J79" s="11"/>
      <c r="K79" s="11"/>
      <c r="L79" s="11"/>
    </row>
    <row r="80" spans="1:12" x14ac:dyDescent="0.25">
      <c r="A80" s="11"/>
      <c r="B80" s="11"/>
      <c r="C80" s="11"/>
      <c r="D80" s="11"/>
      <c r="E80" s="3">
        <f>IF(A80="","",COUNTIF('02_Guest_Database'!F2:F999,A80))</f>
      </c>
      <c r="F80" s="3">
        <f>IF(A80="","",MAX(0,D80-E80))</f>
      </c>
      <c r="G80" s="3">
        <f>IF(A80="","",IFERROR(E80/D80,0))</f>
      </c>
      <c r="H80" s="3">
        <f>IF(A80="","",IF(E80&gt;D80,"חריגת קיבולת",IF(E80=D80,"מלא","תקין")))</f>
      </c>
      <c r="I80" s="11"/>
      <c r="J80" s="11"/>
      <c r="K80" s="11"/>
      <c r="L80" s="11"/>
    </row>
    <row r="81" spans="1:12" x14ac:dyDescent="0.25">
      <c r="A81" s="11"/>
      <c r="B81" s="11"/>
      <c r="C81" s="11"/>
      <c r="D81" s="11"/>
      <c r="E81" s="3">
        <f>IF(A81="","",COUNTIF('02_Guest_Database'!F2:F999,A81))</f>
      </c>
      <c r="F81" s="3">
        <f>IF(A81="","",MAX(0,D81-E81))</f>
      </c>
      <c r="G81" s="3">
        <f>IF(A81="","",IFERROR(E81/D81,0))</f>
      </c>
      <c r="H81" s="3">
        <f>IF(A81="","",IF(E81&gt;D81,"חריגת קיבולת",IF(E81=D81,"מלא","תקין")))</f>
      </c>
      <c r="I81" s="11"/>
      <c r="J81" s="11"/>
      <c r="K81" s="11"/>
      <c r="L81" s="11"/>
    </row>
    <row r="82" spans="1:12" x14ac:dyDescent="0.25">
      <c r="A82" s="11"/>
      <c r="B82" s="11"/>
      <c r="C82" s="11"/>
      <c r="D82" s="11"/>
      <c r="E82" s="3">
        <f>IF(A82="","",COUNTIF('02_Guest_Database'!F2:F999,A82))</f>
      </c>
      <c r="F82" s="3">
        <f>IF(A82="","",MAX(0,D82-E82))</f>
      </c>
      <c r="G82" s="3">
        <f>IF(A82="","",IFERROR(E82/D82,0))</f>
      </c>
      <c r="H82" s="3">
        <f>IF(A82="","",IF(E82&gt;D82,"חריגת קיבולת",IF(E82=D82,"מלא","תקין")))</f>
      </c>
      <c r="I82" s="11"/>
      <c r="J82" s="11"/>
      <c r="K82" s="11"/>
      <c r="L82" s="11"/>
    </row>
    <row r="83" spans="1:12" x14ac:dyDescent="0.25">
      <c r="A83" s="11"/>
      <c r="B83" s="11"/>
      <c r="C83" s="11"/>
      <c r="D83" s="11"/>
      <c r="E83" s="3">
        <f>IF(A83="","",COUNTIF('02_Guest_Database'!F2:F999,A83))</f>
      </c>
      <c r="F83" s="3">
        <f>IF(A83="","",MAX(0,D83-E83))</f>
      </c>
      <c r="G83" s="3">
        <f>IF(A83="","",IFERROR(E83/D83,0))</f>
      </c>
      <c r="H83" s="3">
        <f>IF(A83="","",IF(E83&gt;D83,"חריגת קיבולת",IF(E83=D83,"מלא","תקין")))</f>
      </c>
      <c r="I83" s="11"/>
      <c r="J83" s="11"/>
      <c r="K83" s="11"/>
      <c r="L83" s="11"/>
    </row>
    <row r="84" spans="1:12" x14ac:dyDescent="0.25">
      <c r="A84" s="11"/>
      <c r="B84" s="11"/>
      <c r="C84" s="11"/>
      <c r="D84" s="11"/>
      <c r="E84" s="3">
        <f>IF(A84="","",COUNTIF('02_Guest_Database'!F2:F999,A84))</f>
      </c>
      <c r="F84" s="3">
        <f>IF(A84="","",MAX(0,D84-E84))</f>
      </c>
      <c r="G84" s="3">
        <f>IF(A84="","",IFERROR(E84/D84,0))</f>
      </c>
      <c r="H84" s="3">
        <f>IF(A84="","",IF(E84&gt;D84,"חריגת קיבולת",IF(E84=D84,"מלא","תקין")))</f>
      </c>
      <c r="I84" s="11"/>
      <c r="J84" s="11"/>
      <c r="K84" s="11"/>
      <c r="L84" s="11"/>
    </row>
    <row r="85" spans="1:12" x14ac:dyDescent="0.25">
      <c r="A85" s="11"/>
      <c r="B85" s="11"/>
      <c r="C85" s="11"/>
      <c r="D85" s="11"/>
      <c r="E85" s="3">
        <f>IF(A85="","",COUNTIF('02_Guest_Database'!F2:F999,A85))</f>
      </c>
      <c r="F85" s="3">
        <f>IF(A85="","",MAX(0,D85-E85))</f>
      </c>
      <c r="G85" s="3">
        <f>IF(A85="","",IFERROR(E85/D85,0))</f>
      </c>
      <c r="H85" s="3">
        <f>IF(A85="","",IF(E85&gt;D85,"חריגת קיבולת",IF(E85=D85,"מלא","תקין")))</f>
      </c>
      <c r="I85" s="11"/>
      <c r="J85" s="11"/>
      <c r="K85" s="11"/>
      <c r="L85" s="11"/>
    </row>
    <row r="86" spans="1:12" x14ac:dyDescent="0.25">
      <c r="A86" s="11"/>
      <c r="B86" s="11"/>
      <c r="C86" s="11"/>
      <c r="D86" s="11"/>
      <c r="E86" s="3">
        <f>IF(A86="","",COUNTIF('02_Guest_Database'!F2:F999,A86))</f>
      </c>
      <c r="F86" s="3">
        <f>IF(A86="","",MAX(0,D86-E86))</f>
      </c>
      <c r="G86" s="3">
        <f>IF(A86="","",IFERROR(E86/D86,0))</f>
      </c>
      <c r="H86" s="3">
        <f>IF(A86="","",IF(E86&gt;D86,"חריגת קיבולת",IF(E86=D86,"מלא","תקין")))</f>
      </c>
      <c r="I86" s="11"/>
      <c r="J86" s="11"/>
      <c r="K86" s="11"/>
      <c r="L86" s="11"/>
    </row>
    <row r="87" spans="1:12" x14ac:dyDescent="0.25">
      <c r="A87" s="11"/>
      <c r="B87" s="11"/>
      <c r="C87" s="11"/>
      <c r="D87" s="11"/>
      <c r="E87" s="3">
        <f>IF(A87="","",COUNTIF('02_Guest_Database'!F2:F999,A87))</f>
      </c>
      <c r="F87" s="3">
        <f>IF(A87="","",MAX(0,D87-E87))</f>
      </c>
      <c r="G87" s="3">
        <f>IF(A87="","",IFERROR(E87/D87,0))</f>
      </c>
      <c r="H87" s="3">
        <f>IF(A87="","",IF(E87&gt;D87,"חריגת קיבולת",IF(E87=D87,"מלא","תקין")))</f>
      </c>
      <c r="I87" s="11"/>
      <c r="J87" s="11"/>
      <c r="K87" s="11"/>
      <c r="L87" s="11"/>
    </row>
    <row r="88" spans="1:12" x14ac:dyDescent="0.25">
      <c r="A88" s="11"/>
      <c r="B88" s="11"/>
      <c r="C88" s="11"/>
      <c r="D88" s="11"/>
      <c r="E88" s="3">
        <f>IF(A88="","",COUNTIF('02_Guest_Database'!F2:F999,A88))</f>
      </c>
      <c r="F88" s="3">
        <f>IF(A88="","",MAX(0,D88-E88))</f>
      </c>
      <c r="G88" s="3">
        <f>IF(A88="","",IFERROR(E88/D88,0))</f>
      </c>
      <c r="H88" s="3">
        <f>IF(A88="","",IF(E88&gt;D88,"חריגת קיבולת",IF(E88=D88,"מלא","תקין")))</f>
      </c>
      <c r="I88" s="11"/>
      <c r="J88" s="11"/>
      <c r="K88" s="11"/>
      <c r="L88" s="11"/>
    </row>
    <row r="89" spans="1:12" x14ac:dyDescent="0.25">
      <c r="A89" s="11"/>
      <c r="B89" s="11"/>
      <c r="C89" s="11"/>
      <c r="D89" s="11"/>
      <c r="E89" s="3">
        <f>IF(A89="","",COUNTIF('02_Guest_Database'!F2:F999,A89))</f>
      </c>
      <c r="F89" s="3">
        <f>IF(A89="","",MAX(0,D89-E89))</f>
      </c>
      <c r="G89" s="3">
        <f>IF(A89="","",IFERROR(E89/D89,0))</f>
      </c>
      <c r="H89" s="3">
        <f>IF(A89="","",IF(E89&gt;D89,"חריגת קיבולת",IF(E89=D89,"מלא","תקין")))</f>
      </c>
      <c r="I89" s="11"/>
      <c r="J89" s="11"/>
      <c r="K89" s="11"/>
      <c r="L89" s="11"/>
    </row>
    <row r="90" spans="1:12" x14ac:dyDescent="0.25">
      <c r="A90" s="11"/>
      <c r="B90" s="11"/>
      <c r="C90" s="11"/>
      <c r="D90" s="11"/>
      <c r="E90" s="3">
        <f>IF(A90="","",COUNTIF('02_Guest_Database'!F2:F999,A90))</f>
      </c>
      <c r="F90" s="3">
        <f>IF(A90="","",MAX(0,D90-E90))</f>
      </c>
      <c r="G90" s="3">
        <f>IF(A90="","",IFERROR(E90/D90,0))</f>
      </c>
      <c r="H90" s="3">
        <f>IF(A90="","",IF(E90&gt;D90,"חריגת קיבולת",IF(E90=D90,"מלא","תקין")))</f>
      </c>
      <c r="I90" s="11"/>
      <c r="J90" s="11"/>
      <c r="K90" s="11"/>
      <c r="L90" s="11"/>
    </row>
    <row r="91" spans="1:12" x14ac:dyDescent="0.25">
      <c r="A91" s="11"/>
      <c r="B91" s="11"/>
      <c r="C91" s="11"/>
      <c r="D91" s="11"/>
      <c r="E91" s="3">
        <f>IF(A91="","",COUNTIF('02_Guest_Database'!F2:F999,A91))</f>
      </c>
      <c r="F91" s="3">
        <f>IF(A91="","",MAX(0,D91-E91))</f>
      </c>
      <c r="G91" s="3">
        <f>IF(A91="","",IFERROR(E91/D91,0))</f>
      </c>
      <c r="H91" s="3">
        <f>IF(A91="","",IF(E91&gt;D91,"חריגת קיבולת",IF(E91=D91,"מלא","תקין")))</f>
      </c>
      <c r="I91" s="11"/>
      <c r="J91" s="11"/>
      <c r="K91" s="11"/>
      <c r="L91" s="11"/>
    </row>
    <row r="92" spans="1:12" x14ac:dyDescent="0.25">
      <c r="A92" s="11"/>
      <c r="B92" s="11"/>
      <c r="C92" s="11"/>
      <c r="D92" s="11"/>
      <c r="E92" s="3">
        <f>IF(A92="","",COUNTIF('02_Guest_Database'!F2:F999,A92))</f>
      </c>
      <c r="F92" s="3">
        <f>IF(A92="","",MAX(0,D92-E92))</f>
      </c>
      <c r="G92" s="3">
        <f>IF(A92="","",IFERROR(E92/D92,0))</f>
      </c>
      <c r="H92" s="3">
        <f>IF(A92="","",IF(E92&gt;D92,"חריגת קיבולת",IF(E92=D92,"מלא","תקין")))</f>
      </c>
      <c r="I92" s="11"/>
      <c r="J92" s="11"/>
      <c r="K92" s="11"/>
      <c r="L92" s="11"/>
    </row>
    <row r="93" spans="1:12" x14ac:dyDescent="0.25">
      <c r="A93" s="11"/>
      <c r="B93" s="11"/>
      <c r="C93" s="11"/>
      <c r="D93" s="11"/>
      <c r="E93" s="3">
        <f>IF(A93="","",COUNTIF('02_Guest_Database'!F2:F999,A93))</f>
      </c>
      <c r="F93" s="3">
        <f>IF(A93="","",MAX(0,D93-E93))</f>
      </c>
      <c r="G93" s="3">
        <f>IF(A93="","",IFERROR(E93/D93,0))</f>
      </c>
      <c r="H93" s="3">
        <f>IF(A93="","",IF(E93&gt;D93,"חריגת קיבולת",IF(E93=D93,"מלא","תקין")))</f>
      </c>
      <c r="I93" s="11"/>
      <c r="J93" s="11"/>
      <c r="K93" s="11"/>
      <c r="L93" s="11"/>
    </row>
    <row r="94" spans="1:12" x14ac:dyDescent="0.25">
      <c r="A94" s="11"/>
      <c r="B94" s="11"/>
      <c r="C94" s="11"/>
      <c r="D94" s="11"/>
      <c r="E94" s="3">
        <f>IF(A94="","",COUNTIF('02_Guest_Database'!F2:F999,A94))</f>
      </c>
      <c r="F94" s="3">
        <f>IF(A94="","",MAX(0,D94-E94))</f>
      </c>
      <c r="G94" s="3">
        <f>IF(A94="","",IFERROR(E94/D94,0))</f>
      </c>
      <c r="H94" s="3">
        <f>IF(A94="","",IF(E94&gt;D94,"חריגת קיבולת",IF(E94=D94,"מלא","תקין")))</f>
      </c>
      <c r="I94" s="11"/>
      <c r="J94" s="11"/>
      <c r="K94" s="11"/>
      <c r="L94" s="11"/>
    </row>
    <row r="95" spans="1:12" x14ac:dyDescent="0.25">
      <c r="A95" s="11"/>
      <c r="B95" s="11"/>
      <c r="C95" s="11"/>
      <c r="D95" s="11"/>
      <c r="E95" s="3">
        <f>IF(A95="","",COUNTIF('02_Guest_Database'!F2:F999,A95))</f>
      </c>
      <c r="F95" s="3">
        <f>IF(A95="","",MAX(0,D95-E95))</f>
      </c>
      <c r="G95" s="3">
        <f>IF(A95="","",IFERROR(E95/D95,0))</f>
      </c>
      <c r="H95" s="3">
        <f>IF(A95="","",IF(E95&gt;D95,"חריגת קיבולת",IF(E95=D95,"מלא","תקין")))</f>
      </c>
      <c r="I95" s="11"/>
      <c r="J95" s="11"/>
      <c r="K95" s="11"/>
      <c r="L95" s="11"/>
    </row>
    <row r="96" spans="1:12" x14ac:dyDescent="0.25">
      <c r="A96" s="11"/>
      <c r="B96" s="11"/>
      <c r="C96" s="11"/>
      <c r="D96" s="11"/>
      <c r="E96" s="3">
        <f>IF(A96="","",COUNTIF('02_Guest_Database'!F2:F999,A96))</f>
      </c>
      <c r="F96" s="3">
        <f>IF(A96="","",MAX(0,D96-E96))</f>
      </c>
      <c r="G96" s="3">
        <f>IF(A96="","",IFERROR(E96/D96,0))</f>
      </c>
      <c r="H96" s="3">
        <f>IF(A96="","",IF(E96&gt;D96,"חריגת קיבולת",IF(E96=D96,"מלא","תקין")))</f>
      </c>
      <c r="I96" s="11"/>
      <c r="J96" s="11"/>
      <c r="K96" s="11"/>
      <c r="L96" s="11"/>
    </row>
    <row r="97" spans="1:12" x14ac:dyDescent="0.25">
      <c r="A97" s="11"/>
      <c r="B97" s="11"/>
      <c r="C97" s="11"/>
      <c r="D97" s="11"/>
      <c r="E97" s="3">
        <f>IF(A97="","",COUNTIF('02_Guest_Database'!F2:F999,A97))</f>
      </c>
      <c r="F97" s="3">
        <f>IF(A97="","",MAX(0,D97-E97))</f>
      </c>
      <c r="G97" s="3">
        <f>IF(A97="","",IFERROR(E97/D97,0))</f>
      </c>
      <c r="H97" s="3">
        <f>IF(A97="","",IF(E97&gt;D97,"חריגת קיבולת",IF(E97=D97,"מלא","תקין")))</f>
      </c>
      <c r="I97" s="11"/>
      <c r="J97" s="11"/>
      <c r="K97" s="11"/>
      <c r="L97" s="11"/>
    </row>
    <row r="98" spans="1:12" x14ac:dyDescent="0.25">
      <c r="A98" s="11"/>
      <c r="B98" s="11"/>
      <c r="C98" s="11"/>
      <c r="D98" s="11"/>
      <c r="E98" s="3">
        <f>IF(A98="","",COUNTIF('02_Guest_Database'!F2:F999,A98))</f>
      </c>
      <c r="F98" s="3">
        <f>IF(A98="","",MAX(0,D98-E98))</f>
      </c>
      <c r="G98" s="3">
        <f>IF(A98="","",IFERROR(E98/D98,0))</f>
      </c>
      <c r="H98" s="3">
        <f>IF(A98="","",IF(E98&gt;D98,"חריגת קיבולת",IF(E98=D98,"מלא","תקין")))</f>
      </c>
      <c r="I98" s="11"/>
      <c r="J98" s="11"/>
      <c r="K98" s="11"/>
      <c r="L98" s="11"/>
    </row>
    <row r="99" spans="1:12" x14ac:dyDescent="0.25">
      <c r="A99" s="11"/>
      <c r="B99" s="11"/>
      <c r="C99" s="11"/>
      <c r="D99" s="11"/>
      <c r="E99" s="3">
        <f>IF(A99="","",COUNTIF('02_Guest_Database'!F2:F999,A99))</f>
      </c>
      <c r="F99" s="3">
        <f>IF(A99="","",MAX(0,D99-E99))</f>
      </c>
      <c r="G99" s="3">
        <f>IF(A99="","",IFERROR(E99/D99,0))</f>
      </c>
      <c r="H99" s="3">
        <f>IF(A99="","",IF(E99&gt;D99,"חריגת קיבולת",IF(E99=D99,"מלא","תקין")))</f>
      </c>
      <c r="I99" s="11"/>
      <c r="J99" s="11"/>
      <c r="K99" s="11"/>
      <c r="L99" s="11"/>
    </row>
    <row r="100" spans="1:12" x14ac:dyDescent="0.25">
      <c r="A100" s="11"/>
      <c r="B100" s="11"/>
      <c r="C100" s="11"/>
      <c r="D100" s="11"/>
      <c r="E100" s="3">
        <f>IF(A100="","",COUNTIF('02_Guest_Database'!F2:F999,A100))</f>
      </c>
      <c r="F100" s="3">
        <f>IF(A100="","",MAX(0,D100-E100))</f>
      </c>
      <c r="G100" s="3">
        <f>IF(A100="","",IFERROR(E100/D100,0))</f>
      </c>
      <c r="H100" s="3">
        <f>IF(A100="","",IF(E100&gt;D100,"חריגת קיבולת",IF(E100=D100,"מלא","תקין")))</f>
      </c>
      <c r="I100" s="11"/>
      <c r="J100" s="11"/>
      <c r="K100" s="11"/>
      <c r="L100" s="11"/>
    </row>
    <row r="101" spans="1:12" x14ac:dyDescent="0.25">
      <c r="A101" s="11"/>
      <c r="B101" s="11"/>
      <c r="C101" s="11"/>
      <c r="D101" s="11"/>
      <c r="E101" s="3">
        <f>IF(A101="","",COUNTIF('02_Guest_Database'!F2:F999,A101))</f>
      </c>
      <c r="F101" s="3">
        <f>IF(A101="","",MAX(0,D101-E101))</f>
      </c>
      <c r="G101" s="3">
        <f>IF(A101="","",IFERROR(E101/D101,0))</f>
      </c>
      <c r="H101" s="3">
        <f>IF(A101="","",IF(E101&gt;D101,"חריגת קיבולת",IF(E101=D101,"מלא","תקין")))</f>
      </c>
      <c r="I101" s="11"/>
      <c r="J101" s="11"/>
      <c r="K101" s="11"/>
      <c r="L101" s="11"/>
    </row>
    <row r="102" spans="1:12" x14ac:dyDescent="0.25">
      <c r="A102" s="11"/>
      <c r="B102" s="11"/>
      <c r="C102" s="11"/>
      <c r="D102" s="11"/>
      <c r="E102" s="3">
        <f>IF(A102="","",COUNTIF('02_Guest_Database'!F2:F999,A102))</f>
      </c>
      <c r="F102" s="3">
        <f>IF(A102="","",MAX(0,D102-E102))</f>
      </c>
      <c r="G102" s="3">
        <f>IF(A102="","",IFERROR(E102/D102,0))</f>
      </c>
      <c r="H102" s="3">
        <f>IF(A102="","",IF(E102&gt;D102,"חריגת קיבולת",IF(E102=D102,"מלא","תקין")))</f>
      </c>
      <c r="I102" s="11"/>
      <c r="J102" s="11"/>
      <c r="K102" s="11"/>
      <c r="L102" s="11"/>
    </row>
    <row r="103" spans="1:12" x14ac:dyDescent="0.25">
      <c r="A103" s="11"/>
      <c r="B103" s="11"/>
      <c r="C103" s="11"/>
      <c r="D103" s="11"/>
      <c r="E103" s="3">
        <f>IF(A103="","",COUNTIF('02_Guest_Database'!F2:F999,A103))</f>
      </c>
      <c r="F103" s="3">
        <f>IF(A103="","",MAX(0,D103-E103))</f>
      </c>
      <c r="G103" s="3">
        <f>IF(A103="","",IFERROR(E103/D103,0))</f>
      </c>
      <c r="H103" s="3">
        <f>IF(A103="","",IF(E103&gt;D103,"חריגת קיבולת",IF(E103=D103,"מלא","תקין")))</f>
      </c>
      <c r="I103" s="11"/>
      <c r="J103" s="11"/>
      <c r="K103" s="11"/>
      <c r="L103" s="11"/>
    </row>
    <row r="104" spans="1:12" x14ac:dyDescent="0.25">
      <c r="A104" s="11"/>
      <c r="B104" s="11"/>
      <c r="C104" s="11"/>
      <c r="D104" s="11"/>
      <c r="E104" s="3">
        <f>IF(A104="","",COUNTIF('02_Guest_Database'!F2:F999,A104))</f>
      </c>
      <c r="F104" s="3">
        <f>IF(A104="","",MAX(0,D104-E104))</f>
      </c>
      <c r="G104" s="3">
        <f>IF(A104="","",IFERROR(E104/D104,0))</f>
      </c>
      <c r="H104" s="3">
        <f>IF(A104="","",IF(E104&gt;D104,"חריגת קיבולת",IF(E104=D104,"מלא","תקין")))</f>
      </c>
      <c r="I104" s="11"/>
      <c r="J104" s="11"/>
      <c r="K104" s="11"/>
      <c r="L104" s="11"/>
    </row>
    <row r="105" spans="1:12" x14ac:dyDescent="0.25">
      <c r="A105" s="11"/>
      <c r="B105" s="11"/>
      <c r="C105" s="11"/>
      <c r="D105" s="11"/>
      <c r="E105" s="3">
        <f>IF(A105="","",COUNTIF('02_Guest_Database'!F2:F999,A105))</f>
      </c>
      <c r="F105" s="3">
        <f>IF(A105="","",MAX(0,D105-E105))</f>
      </c>
      <c r="G105" s="3">
        <f>IF(A105="","",IFERROR(E105/D105,0))</f>
      </c>
      <c r="H105" s="3">
        <f>IF(A105="","",IF(E105&gt;D105,"חריגת קיבולת",IF(E105=D105,"מלא","תקין")))</f>
      </c>
      <c r="I105" s="11"/>
      <c r="J105" s="11"/>
      <c r="K105" s="11"/>
      <c r="L105" s="11"/>
    </row>
    <row r="106" spans="1:12" x14ac:dyDescent="0.25">
      <c r="A106" s="11"/>
      <c r="B106" s="11"/>
      <c r="C106" s="11"/>
      <c r="D106" s="11"/>
      <c r="E106" s="3">
        <f>IF(A106="","",COUNTIF('02_Guest_Database'!F2:F999,A106))</f>
      </c>
      <c r="F106" s="3">
        <f>IF(A106="","",MAX(0,D106-E106))</f>
      </c>
      <c r="G106" s="3">
        <f>IF(A106="","",IFERROR(E106/D106,0))</f>
      </c>
      <c r="H106" s="3">
        <f>IF(A106="","",IF(E106&gt;D106,"חריגת קיבולת",IF(E106=D106,"מלא","תקין")))</f>
      </c>
      <c r="I106" s="11"/>
      <c r="J106" s="11"/>
      <c r="K106" s="11"/>
      <c r="L106" s="11"/>
    </row>
    <row r="107" spans="1:12" x14ac:dyDescent="0.25">
      <c r="A107" s="11"/>
      <c r="B107" s="11"/>
      <c r="C107" s="11"/>
      <c r="D107" s="11"/>
      <c r="E107" s="3">
        <f>IF(A107="","",COUNTIF('02_Guest_Database'!F2:F999,A107))</f>
      </c>
      <c r="F107" s="3">
        <f>IF(A107="","",MAX(0,D107-E107))</f>
      </c>
      <c r="G107" s="3">
        <f>IF(A107="","",IFERROR(E107/D107,0))</f>
      </c>
      <c r="H107" s="3">
        <f>IF(A107="","",IF(E107&gt;D107,"חריגת קיבולת",IF(E107=D107,"מלא","תקין")))</f>
      </c>
      <c r="I107" s="11"/>
      <c r="J107" s="11"/>
      <c r="K107" s="11"/>
      <c r="L107" s="11"/>
    </row>
    <row r="108" spans="1:12" x14ac:dyDescent="0.25">
      <c r="A108" s="11"/>
      <c r="B108" s="11"/>
      <c r="C108" s="11"/>
      <c r="D108" s="11"/>
      <c r="E108" s="3">
        <f>IF(A108="","",COUNTIF('02_Guest_Database'!F2:F999,A108))</f>
      </c>
      <c r="F108" s="3">
        <f>IF(A108="","",MAX(0,D108-E108))</f>
      </c>
      <c r="G108" s="3">
        <f>IF(A108="","",IFERROR(E108/D108,0))</f>
      </c>
      <c r="H108" s="3">
        <f>IF(A108="","",IF(E108&gt;D108,"חריגת קיבולת",IF(E108=D108,"מלא","תקין")))</f>
      </c>
      <c r="I108" s="11"/>
      <c r="J108" s="11"/>
      <c r="K108" s="11"/>
      <c r="L108" s="11"/>
    </row>
    <row r="109" spans="1:12" x14ac:dyDescent="0.25">
      <c r="A109" s="11"/>
      <c r="B109" s="11"/>
      <c r="C109" s="11"/>
      <c r="D109" s="11"/>
      <c r="E109" s="3">
        <f>IF(A109="","",COUNTIF('02_Guest_Database'!F2:F999,A109))</f>
      </c>
      <c r="F109" s="3">
        <f>IF(A109="","",MAX(0,D109-E109))</f>
      </c>
      <c r="G109" s="3">
        <f>IF(A109="","",IFERROR(E109/D109,0))</f>
      </c>
      <c r="H109" s="3">
        <f>IF(A109="","",IF(E109&gt;D109,"חריגת קיבולת",IF(E109=D109,"מלא","תקין")))</f>
      </c>
      <c r="I109" s="11"/>
      <c r="J109" s="11"/>
      <c r="K109" s="11"/>
      <c r="L109" s="11"/>
    </row>
    <row r="110" spans="1:12" x14ac:dyDescent="0.25">
      <c r="A110" s="11"/>
      <c r="B110" s="11"/>
      <c r="C110" s="11"/>
      <c r="D110" s="11"/>
      <c r="E110" s="3">
        <f>IF(A110="","",COUNTIF('02_Guest_Database'!F2:F999,A110))</f>
      </c>
      <c r="F110" s="3">
        <f>IF(A110="","",MAX(0,D110-E110))</f>
      </c>
      <c r="G110" s="3">
        <f>IF(A110="","",IFERROR(E110/D110,0))</f>
      </c>
      <c r="H110" s="3">
        <f>IF(A110="","",IF(E110&gt;D110,"חריגת קיבולת",IF(E110=D110,"מלא","תקין")))</f>
      </c>
      <c r="I110" s="11"/>
      <c r="J110" s="11"/>
      <c r="K110" s="11"/>
      <c r="L110" s="11"/>
    </row>
    <row r="111" spans="1:12" x14ac:dyDescent="0.25">
      <c r="A111" s="11"/>
      <c r="B111" s="11"/>
      <c r="C111" s="11"/>
      <c r="D111" s="11"/>
      <c r="E111" s="3">
        <f>IF(A111="","",COUNTIF('02_Guest_Database'!F2:F999,A111))</f>
      </c>
      <c r="F111" s="3">
        <f>IF(A111="","",MAX(0,D111-E111))</f>
      </c>
      <c r="G111" s="3">
        <f>IF(A111="","",IFERROR(E111/D111,0))</f>
      </c>
      <c r="H111" s="3">
        <f>IF(A111="","",IF(E111&gt;D111,"חריגת קיבולת",IF(E111=D111,"מלא","תקין")))</f>
      </c>
      <c r="I111" s="11"/>
      <c r="J111" s="11"/>
      <c r="K111" s="11"/>
      <c r="L111" s="11"/>
    </row>
    <row r="112" spans="1:12" x14ac:dyDescent="0.25">
      <c r="A112" s="11"/>
      <c r="B112" s="11"/>
      <c r="C112" s="11"/>
      <c r="D112" s="11"/>
      <c r="E112" s="3">
        <f>IF(A112="","",COUNTIF('02_Guest_Database'!F2:F999,A112))</f>
      </c>
      <c r="F112" s="3">
        <f>IF(A112="","",MAX(0,D112-E112))</f>
      </c>
      <c r="G112" s="3">
        <f>IF(A112="","",IFERROR(E112/D112,0))</f>
      </c>
      <c r="H112" s="3">
        <f>IF(A112="","",IF(E112&gt;D112,"חריגת קיבולת",IF(E112=D112,"מלא","תקין")))</f>
      </c>
      <c r="I112" s="11"/>
      <c r="J112" s="11"/>
      <c r="K112" s="11"/>
      <c r="L112" s="11"/>
    </row>
    <row r="113" spans="1:12" x14ac:dyDescent="0.25">
      <c r="A113" s="11"/>
      <c r="B113" s="11"/>
      <c r="C113" s="11"/>
      <c r="D113" s="11"/>
      <c r="E113" s="3">
        <f>IF(A113="","",COUNTIF('02_Guest_Database'!F2:F999,A113))</f>
      </c>
      <c r="F113" s="3">
        <f>IF(A113="","",MAX(0,D113-E113))</f>
      </c>
      <c r="G113" s="3">
        <f>IF(A113="","",IFERROR(E113/D113,0))</f>
      </c>
      <c r="H113" s="3">
        <f>IF(A113="","",IF(E113&gt;D113,"חריגת קיבולת",IF(E113=D113,"מלא","תקין")))</f>
      </c>
      <c r="I113" s="11"/>
      <c r="J113" s="11"/>
      <c r="K113" s="11"/>
      <c r="L113" s="11"/>
    </row>
    <row r="114" spans="1:12" x14ac:dyDescent="0.25">
      <c r="A114" s="11"/>
      <c r="B114" s="11"/>
      <c r="C114" s="11"/>
      <c r="D114" s="11"/>
      <c r="E114" s="3">
        <f>IF(A114="","",COUNTIF('02_Guest_Database'!F2:F999,A114))</f>
      </c>
      <c r="F114" s="3">
        <f>IF(A114="","",MAX(0,D114-E114))</f>
      </c>
      <c r="G114" s="3">
        <f>IF(A114="","",IFERROR(E114/D114,0))</f>
      </c>
      <c r="H114" s="3">
        <f>IF(A114="","",IF(E114&gt;D114,"חריגת קיבולת",IF(E114=D114,"מלא","תקין")))</f>
      </c>
      <c r="I114" s="11"/>
      <c r="J114" s="11"/>
      <c r="K114" s="11"/>
      <c r="L114" s="11"/>
    </row>
    <row r="115" spans="1:12" x14ac:dyDescent="0.25">
      <c r="A115" s="11"/>
      <c r="B115" s="11"/>
      <c r="C115" s="11"/>
      <c r="D115" s="11"/>
      <c r="E115" s="3">
        <f>IF(A115="","",COUNTIF('02_Guest_Database'!F2:F999,A115))</f>
      </c>
      <c r="F115" s="3">
        <f>IF(A115="","",MAX(0,D115-E115))</f>
      </c>
      <c r="G115" s="3">
        <f>IF(A115="","",IFERROR(E115/D115,0))</f>
      </c>
      <c r="H115" s="3">
        <f>IF(A115="","",IF(E115&gt;D115,"חריגת קיבולת",IF(E115=D115,"מלא","תקין")))</f>
      </c>
      <c r="I115" s="11"/>
      <c r="J115" s="11"/>
      <c r="K115" s="11"/>
      <c r="L115" s="11"/>
    </row>
    <row r="116" spans="1:12" x14ac:dyDescent="0.25">
      <c r="A116" s="11"/>
      <c r="B116" s="11"/>
      <c r="C116" s="11"/>
      <c r="D116" s="11"/>
      <c r="E116" s="3">
        <f>IF(A116="","",COUNTIF('02_Guest_Database'!F2:F999,A116))</f>
      </c>
      <c r="F116" s="3">
        <f>IF(A116="","",MAX(0,D116-E116))</f>
      </c>
      <c r="G116" s="3">
        <f>IF(A116="","",IFERROR(E116/D116,0))</f>
      </c>
      <c r="H116" s="3">
        <f>IF(A116="","",IF(E116&gt;D116,"חריגת קיבולת",IF(E116=D116,"מלא","תקין")))</f>
      </c>
      <c r="I116" s="11"/>
      <c r="J116" s="11"/>
      <c r="K116" s="11"/>
      <c r="L116" s="11"/>
    </row>
    <row r="117" spans="1:12" x14ac:dyDescent="0.25">
      <c r="A117" s="11"/>
      <c r="B117" s="11"/>
      <c r="C117" s="11"/>
      <c r="D117" s="11"/>
      <c r="E117" s="3">
        <f>IF(A117="","",COUNTIF('02_Guest_Database'!F2:F999,A117))</f>
      </c>
      <c r="F117" s="3">
        <f>IF(A117="","",MAX(0,D117-E117))</f>
      </c>
      <c r="G117" s="3">
        <f>IF(A117="","",IFERROR(E117/D117,0))</f>
      </c>
      <c r="H117" s="3">
        <f>IF(A117="","",IF(E117&gt;D117,"חריגת קיבולת",IF(E117=D117,"מלא","תקין")))</f>
      </c>
      <c r="I117" s="11"/>
      <c r="J117" s="11"/>
      <c r="K117" s="11"/>
      <c r="L117" s="11"/>
    </row>
    <row r="118" spans="1:12" x14ac:dyDescent="0.25">
      <c r="A118" s="11"/>
      <c r="B118" s="11"/>
      <c r="C118" s="11"/>
      <c r="D118" s="11"/>
      <c r="E118" s="3">
        <f>IF(A118="","",COUNTIF('02_Guest_Database'!F2:F999,A118))</f>
      </c>
      <c r="F118" s="3">
        <f>IF(A118="","",MAX(0,D118-E118))</f>
      </c>
      <c r="G118" s="3">
        <f>IF(A118="","",IFERROR(E118/D118,0))</f>
      </c>
      <c r="H118" s="3">
        <f>IF(A118="","",IF(E118&gt;D118,"חריגת קיבולת",IF(E118=D118,"מלא","תקין")))</f>
      </c>
      <c r="I118" s="11"/>
      <c r="J118" s="11"/>
      <c r="K118" s="11"/>
      <c r="L118" s="11"/>
    </row>
    <row r="119" spans="1:12" x14ac:dyDescent="0.25">
      <c r="A119" s="11"/>
      <c r="B119" s="11"/>
      <c r="C119" s="11"/>
      <c r="D119" s="11"/>
      <c r="E119" s="3">
        <f>IF(A119="","",COUNTIF('02_Guest_Database'!F2:F999,A119))</f>
      </c>
      <c r="F119" s="3">
        <f>IF(A119="","",MAX(0,D119-E119))</f>
      </c>
      <c r="G119" s="3">
        <f>IF(A119="","",IFERROR(E119/D119,0))</f>
      </c>
      <c r="H119" s="3">
        <f>IF(A119="","",IF(E119&gt;D119,"חריגת קיבולת",IF(E119=D119,"מלא","תקין")))</f>
      </c>
      <c r="I119" s="11"/>
      <c r="J119" s="11"/>
      <c r="K119" s="11"/>
      <c r="L119" s="11"/>
    </row>
    <row r="120" spans="1:12" x14ac:dyDescent="0.25">
      <c r="A120" s="11"/>
      <c r="B120" s="11"/>
      <c r="C120" s="11"/>
      <c r="D120" s="11"/>
      <c r="E120" s="3">
        <f>IF(A120="","",COUNTIF('02_Guest_Database'!F2:F999,A120))</f>
      </c>
      <c r="F120" s="3">
        <f>IF(A120="","",MAX(0,D120-E120))</f>
      </c>
      <c r="G120" s="3">
        <f>IF(A120="","",IFERROR(E120/D120,0))</f>
      </c>
      <c r="H120" s="3">
        <f>IF(A120="","",IF(E120&gt;D120,"חריגת קיבולת",IF(E120=D120,"מלא","תקין")))</f>
      </c>
      <c r="I120" s="11"/>
      <c r="J120" s="11"/>
      <c r="K120" s="11"/>
      <c r="L120" s="11"/>
    </row>
    <row r="121" spans="1:12" x14ac:dyDescent="0.25">
      <c r="A121" s="11"/>
      <c r="B121" s="11"/>
      <c r="C121" s="11"/>
      <c r="D121" s="11"/>
      <c r="E121" s="3">
        <f>IF(A121="","",COUNTIF('02_Guest_Database'!F2:F999,A121))</f>
      </c>
      <c r="F121" s="3">
        <f>IF(A121="","",MAX(0,D121-E121))</f>
      </c>
      <c r="G121" s="3">
        <f>IF(A121="","",IFERROR(E121/D121,0))</f>
      </c>
      <c r="H121" s="3">
        <f>IF(A121="","",IF(E121&gt;D121,"חריגת קיבולת",IF(E121=D121,"מלא","תקין")))</f>
      </c>
      <c r="I121" s="11"/>
      <c r="J121" s="11"/>
      <c r="K121" s="11"/>
      <c r="L121" s="11"/>
    </row>
    <row r="122" spans="1:12" x14ac:dyDescent="0.25">
      <c r="A122" s="11"/>
      <c r="B122" s="11"/>
      <c r="C122" s="11"/>
      <c r="D122" s="11"/>
      <c r="E122" s="3">
        <f>IF(A122="","",COUNTIF('02_Guest_Database'!F2:F999,A122))</f>
      </c>
      <c r="F122" s="3">
        <f>IF(A122="","",MAX(0,D122-E122))</f>
      </c>
      <c r="G122" s="3">
        <f>IF(A122="","",IFERROR(E122/D122,0))</f>
      </c>
      <c r="H122" s="3">
        <f>IF(A122="","",IF(E122&gt;D122,"חריגת קיבולת",IF(E122=D122,"מלא","תקין")))</f>
      </c>
      <c r="I122" s="11"/>
      <c r="J122" s="11"/>
      <c r="K122" s="11"/>
      <c r="L122" s="11"/>
    </row>
    <row r="123" spans="1:12" x14ac:dyDescent="0.25">
      <c r="A123" s="11"/>
      <c r="B123" s="11"/>
      <c r="C123" s="11"/>
      <c r="D123" s="11"/>
      <c r="E123" s="3">
        <f>IF(A123="","",COUNTIF('02_Guest_Database'!F2:F999,A123))</f>
      </c>
      <c r="F123" s="3">
        <f>IF(A123="","",MAX(0,D123-E123))</f>
      </c>
      <c r="G123" s="3">
        <f>IF(A123="","",IFERROR(E123/D123,0))</f>
      </c>
      <c r="H123" s="3">
        <f>IF(A123="","",IF(E123&gt;D123,"חריגת קיבולת",IF(E123=D123,"מלא","תקין")))</f>
      </c>
      <c r="I123" s="11"/>
      <c r="J123" s="11"/>
      <c r="K123" s="11"/>
      <c r="L123" s="11"/>
    </row>
    <row r="124" spans="1:12" x14ac:dyDescent="0.25">
      <c r="A124" s="11"/>
      <c r="B124" s="11"/>
      <c r="C124" s="11"/>
      <c r="D124" s="11"/>
      <c r="E124" s="3">
        <f>IF(A124="","",COUNTIF('02_Guest_Database'!F2:F999,A124))</f>
      </c>
      <c r="F124" s="3">
        <f>IF(A124="","",MAX(0,D124-E124))</f>
      </c>
      <c r="G124" s="3">
        <f>IF(A124="","",IFERROR(E124/D124,0))</f>
      </c>
      <c r="H124" s="3">
        <f>IF(A124="","",IF(E124&gt;D124,"חריגת קיבולת",IF(E124=D124,"מלא","תקין")))</f>
      </c>
      <c r="I124" s="11"/>
      <c r="J124" s="11"/>
      <c r="K124" s="11"/>
      <c r="L124" s="11"/>
    </row>
    <row r="125" spans="1:12" x14ac:dyDescent="0.25">
      <c r="A125" s="11"/>
      <c r="B125" s="11"/>
      <c r="C125" s="11"/>
      <c r="D125" s="11"/>
      <c r="E125" s="3">
        <f>IF(A125="","",COUNTIF('02_Guest_Database'!F2:F999,A125))</f>
      </c>
      <c r="F125" s="3">
        <f>IF(A125="","",MAX(0,D125-E125))</f>
      </c>
      <c r="G125" s="3">
        <f>IF(A125="","",IFERROR(E125/D125,0))</f>
      </c>
      <c r="H125" s="3">
        <f>IF(A125="","",IF(E125&gt;D125,"חריגת קיבולת",IF(E125=D125,"מלא","תקין")))</f>
      </c>
      <c r="I125" s="11"/>
      <c r="J125" s="11"/>
      <c r="K125" s="11"/>
      <c r="L125" s="11"/>
    </row>
    <row r="126" spans="1:12" x14ac:dyDescent="0.25">
      <c r="A126" s="11"/>
      <c r="B126" s="11"/>
      <c r="C126" s="11"/>
      <c r="D126" s="11"/>
      <c r="E126" s="3">
        <f>IF(A126="","",COUNTIF('02_Guest_Database'!F2:F999,A126))</f>
      </c>
      <c r="F126" s="3">
        <f>IF(A126="","",MAX(0,D126-E126))</f>
      </c>
      <c r="G126" s="3">
        <f>IF(A126="","",IFERROR(E126/D126,0))</f>
      </c>
      <c r="H126" s="3">
        <f>IF(A126="","",IF(E126&gt;D126,"חריגת קיבולת",IF(E126=D126,"מלא","תקין")))</f>
      </c>
      <c r="I126" s="11"/>
      <c r="J126" s="11"/>
      <c r="K126" s="11"/>
      <c r="L126" s="11"/>
    </row>
    <row r="127" spans="1:12" x14ac:dyDescent="0.25">
      <c r="A127" s="11"/>
      <c r="B127" s="11"/>
      <c r="C127" s="11"/>
      <c r="D127" s="11"/>
      <c r="E127" s="3">
        <f>IF(A127="","",COUNTIF('02_Guest_Database'!F2:F999,A127))</f>
      </c>
      <c r="F127" s="3">
        <f>IF(A127="","",MAX(0,D127-E127))</f>
      </c>
      <c r="G127" s="3">
        <f>IF(A127="","",IFERROR(E127/D127,0))</f>
      </c>
      <c r="H127" s="3">
        <f>IF(A127="","",IF(E127&gt;D127,"חריגת קיבולת",IF(E127=D127,"מלא","תקין")))</f>
      </c>
      <c r="I127" s="11"/>
      <c r="J127" s="11"/>
      <c r="K127" s="11"/>
      <c r="L127" s="11"/>
    </row>
    <row r="128" spans="1:12" x14ac:dyDescent="0.25">
      <c r="A128" s="11"/>
      <c r="B128" s="11"/>
      <c r="C128" s="11"/>
      <c r="D128" s="11"/>
      <c r="E128" s="3">
        <f>IF(A128="","",COUNTIF('02_Guest_Database'!F2:F999,A128))</f>
      </c>
      <c r="F128" s="3">
        <f>IF(A128="","",MAX(0,D128-E128))</f>
      </c>
      <c r="G128" s="3">
        <f>IF(A128="","",IFERROR(E128/D128,0))</f>
      </c>
      <c r="H128" s="3">
        <f>IF(A128="","",IF(E128&gt;D128,"חריגת קיבולת",IF(E128=D128,"מלא","תקין")))</f>
      </c>
      <c r="I128" s="11"/>
      <c r="J128" s="11"/>
      <c r="K128" s="11"/>
      <c r="L128" s="11"/>
    </row>
    <row r="129" spans="1:12" x14ac:dyDescent="0.25">
      <c r="A129" s="11"/>
      <c r="B129" s="11"/>
      <c r="C129" s="11"/>
      <c r="D129" s="11"/>
      <c r="E129" s="3">
        <f>IF(A129="","",COUNTIF('02_Guest_Database'!F2:F999,A129))</f>
      </c>
      <c r="F129" s="3">
        <f>IF(A129="","",MAX(0,D129-E129))</f>
      </c>
      <c r="G129" s="3">
        <f>IF(A129="","",IFERROR(E129/D129,0))</f>
      </c>
      <c r="H129" s="3">
        <f>IF(A129="","",IF(E129&gt;D129,"חריגת קיבולת",IF(E129=D129,"מלא","תקין")))</f>
      </c>
      <c r="I129" s="11"/>
      <c r="J129" s="11"/>
      <c r="K129" s="11"/>
      <c r="L129" s="11"/>
    </row>
    <row r="130" spans="1:12" x14ac:dyDescent="0.25">
      <c r="A130" s="11"/>
      <c r="B130" s="11"/>
      <c r="C130" s="11"/>
      <c r="D130" s="11"/>
      <c r="E130" s="3">
        <f>IF(A130="","",COUNTIF('02_Guest_Database'!F2:F999,A130))</f>
      </c>
      <c r="F130" s="3">
        <f>IF(A130="","",MAX(0,D130-E130))</f>
      </c>
      <c r="G130" s="3">
        <f>IF(A130="","",IFERROR(E130/D130,0))</f>
      </c>
      <c r="H130" s="3">
        <f>IF(A130="","",IF(E130&gt;D130,"חריגת קיבולת",IF(E130=D130,"מלא","תקין")))</f>
      </c>
      <c r="I130" s="11"/>
      <c r="J130" s="11"/>
      <c r="K130" s="11"/>
      <c r="L130" s="11"/>
    </row>
    <row r="131" spans="1:12" x14ac:dyDescent="0.25">
      <c r="A131" s="11"/>
      <c r="B131" s="11"/>
      <c r="C131" s="11"/>
      <c r="D131" s="11"/>
      <c r="E131" s="3">
        <f>IF(A131="","",COUNTIF('02_Guest_Database'!F2:F999,A131))</f>
      </c>
      <c r="F131" s="3">
        <f>IF(A131="","",MAX(0,D131-E131))</f>
      </c>
      <c r="G131" s="3">
        <f>IF(A131="","",IFERROR(E131/D131,0))</f>
      </c>
      <c r="H131" s="3">
        <f>IF(A131="","",IF(E131&gt;D131,"חריגת קיבולת",IF(E131=D131,"מלא","תקין")))</f>
      </c>
      <c r="I131" s="11"/>
      <c r="J131" s="11"/>
      <c r="K131" s="11"/>
      <c r="L131" s="11"/>
    </row>
    <row r="132" spans="1:12" x14ac:dyDescent="0.25">
      <c r="A132" s="11"/>
      <c r="B132" s="11"/>
      <c r="C132" s="11"/>
      <c r="D132" s="11"/>
      <c r="E132" s="3">
        <f>IF(A132="","",COUNTIF('02_Guest_Database'!F2:F999,A132))</f>
      </c>
      <c r="F132" s="3">
        <f>IF(A132="","",MAX(0,D132-E132))</f>
      </c>
      <c r="G132" s="3">
        <f>IF(A132="","",IFERROR(E132/D132,0))</f>
      </c>
      <c r="H132" s="3">
        <f>IF(A132="","",IF(E132&gt;D132,"חריגת קיבולת",IF(E132=D132,"מלא","תקין")))</f>
      </c>
      <c r="I132" s="11"/>
      <c r="J132" s="11"/>
      <c r="K132" s="11"/>
      <c r="L132" s="11"/>
    </row>
    <row r="133" spans="1:12" x14ac:dyDescent="0.25">
      <c r="A133" s="11"/>
      <c r="B133" s="11"/>
      <c r="C133" s="11"/>
      <c r="D133" s="11"/>
      <c r="E133" s="3">
        <f>IF(A133="","",COUNTIF('02_Guest_Database'!F2:F999,A133))</f>
      </c>
      <c r="F133" s="3">
        <f>IF(A133="","",MAX(0,D133-E133))</f>
      </c>
      <c r="G133" s="3">
        <f>IF(A133="","",IFERROR(E133/D133,0))</f>
      </c>
      <c r="H133" s="3">
        <f>IF(A133="","",IF(E133&gt;D133,"חריגת קיבולת",IF(E133=D133,"מלא","תקין")))</f>
      </c>
      <c r="I133" s="11"/>
      <c r="J133" s="11"/>
      <c r="K133" s="11"/>
      <c r="L133" s="11"/>
    </row>
    <row r="134" spans="1:12" x14ac:dyDescent="0.25">
      <c r="A134" s="11"/>
      <c r="B134" s="11"/>
      <c r="C134" s="11"/>
      <c r="D134" s="11"/>
      <c r="E134" s="3">
        <f>IF(A134="","",COUNTIF('02_Guest_Database'!F2:F999,A134))</f>
      </c>
      <c r="F134" s="3">
        <f>IF(A134="","",MAX(0,D134-E134))</f>
      </c>
      <c r="G134" s="3">
        <f>IF(A134="","",IFERROR(E134/D134,0))</f>
      </c>
      <c r="H134" s="3">
        <f>IF(A134="","",IF(E134&gt;D134,"חריגת קיבולת",IF(E134=D134,"מלא","תקין")))</f>
      </c>
      <c r="I134" s="11"/>
      <c r="J134" s="11"/>
      <c r="K134" s="11"/>
      <c r="L134" s="11"/>
    </row>
    <row r="135" spans="1:12" x14ac:dyDescent="0.25">
      <c r="A135" s="11"/>
      <c r="B135" s="11"/>
      <c r="C135" s="11"/>
      <c r="D135" s="11"/>
      <c r="E135" s="3">
        <f>IF(A135="","",COUNTIF('02_Guest_Database'!F2:F999,A135))</f>
      </c>
      <c r="F135" s="3">
        <f>IF(A135="","",MAX(0,D135-E135))</f>
      </c>
      <c r="G135" s="3">
        <f>IF(A135="","",IFERROR(E135/D135,0))</f>
      </c>
      <c r="H135" s="3">
        <f>IF(A135="","",IF(E135&gt;D135,"חריגת קיבולת",IF(E135=D135,"מלא","תקין")))</f>
      </c>
      <c r="I135" s="11"/>
      <c r="J135" s="11"/>
      <c r="K135" s="11"/>
      <c r="L135" s="11"/>
    </row>
    <row r="136" spans="1:12" x14ac:dyDescent="0.25">
      <c r="A136" s="11"/>
      <c r="B136" s="11"/>
      <c r="C136" s="11"/>
      <c r="D136" s="11"/>
      <c r="E136" s="3">
        <f>IF(A136="","",COUNTIF('02_Guest_Database'!F2:F999,A136))</f>
      </c>
      <c r="F136" s="3">
        <f>IF(A136="","",MAX(0,D136-E136))</f>
      </c>
      <c r="G136" s="3">
        <f>IF(A136="","",IFERROR(E136/D136,0))</f>
      </c>
      <c r="H136" s="3">
        <f>IF(A136="","",IF(E136&gt;D136,"חריגת קיבולת",IF(E136=D136,"מלא","תקין")))</f>
      </c>
      <c r="I136" s="11"/>
      <c r="J136" s="11"/>
      <c r="K136" s="11"/>
      <c r="L136" s="11"/>
    </row>
    <row r="137" spans="1:12" x14ac:dyDescent="0.25">
      <c r="A137" s="11"/>
      <c r="B137" s="11"/>
      <c r="C137" s="11"/>
      <c r="D137" s="11"/>
      <c r="E137" s="3">
        <f>IF(A137="","",COUNTIF('02_Guest_Database'!F2:F999,A137))</f>
      </c>
      <c r="F137" s="3">
        <f>IF(A137="","",MAX(0,D137-E137))</f>
      </c>
      <c r="G137" s="3">
        <f>IF(A137="","",IFERROR(E137/D137,0))</f>
      </c>
      <c r="H137" s="3">
        <f>IF(A137="","",IF(E137&gt;D137,"חריגת קיבולת",IF(E137=D137,"מלא","תקין")))</f>
      </c>
      <c r="I137" s="11"/>
      <c r="J137" s="11"/>
      <c r="K137" s="11"/>
      <c r="L137" s="11"/>
    </row>
    <row r="138" spans="1:12" x14ac:dyDescent="0.25">
      <c r="A138" s="11"/>
      <c r="B138" s="11"/>
      <c r="C138" s="11"/>
      <c r="D138" s="11"/>
      <c r="E138" s="3">
        <f>IF(A138="","",COUNTIF('02_Guest_Database'!F2:F999,A138))</f>
      </c>
      <c r="F138" s="3">
        <f>IF(A138="","",MAX(0,D138-E138))</f>
      </c>
      <c r="G138" s="3">
        <f>IF(A138="","",IFERROR(E138/D138,0))</f>
      </c>
      <c r="H138" s="3">
        <f>IF(A138="","",IF(E138&gt;D138,"חריגת קיבולת",IF(E138=D138,"מלא","תקין")))</f>
      </c>
      <c r="I138" s="11"/>
      <c r="J138" s="11"/>
      <c r="K138" s="11"/>
      <c r="L138" s="11"/>
    </row>
    <row r="139" spans="1:12" x14ac:dyDescent="0.25">
      <c r="A139" s="11"/>
      <c r="B139" s="11"/>
      <c r="C139" s="11"/>
      <c r="D139" s="11"/>
      <c r="E139" s="3">
        <f>IF(A139="","",COUNTIF('02_Guest_Database'!F2:F999,A139))</f>
      </c>
      <c r="F139" s="3">
        <f>IF(A139="","",MAX(0,D139-E139))</f>
      </c>
      <c r="G139" s="3">
        <f>IF(A139="","",IFERROR(E139/D139,0))</f>
      </c>
      <c r="H139" s="3">
        <f>IF(A139="","",IF(E139&gt;D139,"חריגת קיבולת",IF(E139=D139,"מלא","תקין")))</f>
      </c>
      <c r="I139" s="11"/>
      <c r="J139" s="11"/>
      <c r="K139" s="11"/>
      <c r="L139" s="11"/>
    </row>
    <row r="140" spans="1:12" x14ac:dyDescent="0.25">
      <c r="A140" s="11"/>
      <c r="B140" s="11"/>
      <c r="C140" s="11"/>
      <c r="D140" s="11"/>
      <c r="E140" s="3">
        <f>IF(A140="","",COUNTIF('02_Guest_Database'!F2:F999,A140))</f>
      </c>
      <c r="F140" s="3">
        <f>IF(A140="","",MAX(0,D140-E140))</f>
      </c>
      <c r="G140" s="3">
        <f>IF(A140="","",IFERROR(E140/D140,0))</f>
      </c>
      <c r="H140" s="3">
        <f>IF(A140="","",IF(E140&gt;D140,"חריגת קיבולת",IF(E140=D140,"מלא","תקין")))</f>
      </c>
      <c r="I140" s="11"/>
      <c r="J140" s="11"/>
      <c r="K140" s="11"/>
      <c r="L140" s="11"/>
    </row>
    <row r="141" spans="1:12" x14ac:dyDescent="0.25">
      <c r="A141" s="11"/>
      <c r="B141" s="11"/>
      <c r="C141" s="11"/>
      <c r="D141" s="11"/>
      <c r="E141" s="3">
        <f>IF(A141="","",COUNTIF('02_Guest_Database'!F2:F999,A141))</f>
      </c>
      <c r="F141" s="3">
        <f>IF(A141="","",MAX(0,D141-E141))</f>
      </c>
      <c r="G141" s="3">
        <f>IF(A141="","",IFERROR(E141/D141,0))</f>
      </c>
      <c r="H141" s="3">
        <f>IF(A141="","",IF(E141&gt;D141,"חריגת קיבולת",IF(E141=D141,"מלא","תקין")))</f>
      </c>
      <c r="I141" s="11"/>
      <c r="J141" s="11"/>
      <c r="K141" s="11"/>
      <c r="L141" s="11"/>
    </row>
    <row r="142" spans="1:12" x14ac:dyDescent="0.25">
      <c r="A142" s="11"/>
      <c r="B142" s="11"/>
      <c r="C142" s="11"/>
      <c r="D142" s="11"/>
      <c r="E142" s="3">
        <f>IF(A142="","",COUNTIF('02_Guest_Database'!F2:F999,A142))</f>
      </c>
      <c r="F142" s="3">
        <f>IF(A142="","",MAX(0,D142-E142))</f>
      </c>
      <c r="G142" s="3">
        <f>IF(A142="","",IFERROR(E142/D142,0))</f>
      </c>
      <c r="H142" s="3">
        <f>IF(A142="","",IF(E142&gt;D142,"חריגת קיבולת",IF(E142=D142,"מלא","תקין")))</f>
      </c>
      <c r="I142" s="11"/>
      <c r="J142" s="11"/>
      <c r="K142" s="11"/>
      <c r="L142" s="11"/>
    </row>
    <row r="143" spans="1:12" x14ac:dyDescent="0.25">
      <c r="A143" s="11"/>
      <c r="B143" s="11"/>
      <c r="C143" s="11"/>
      <c r="D143" s="11"/>
      <c r="E143" s="3">
        <f>IF(A143="","",COUNTIF('02_Guest_Database'!F2:F999,A143))</f>
      </c>
      <c r="F143" s="3">
        <f>IF(A143="","",MAX(0,D143-E143))</f>
      </c>
      <c r="G143" s="3">
        <f>IF(A143="","",IFERROR(E143/D143,0))</f>
      </c>
      <c r="H143" s="3">
        <f>IF(A143="","",IF(E143&gt;D143,"חריגת קיבולת",IF(E143=D143,"מלא","תקין")))</f>
      </c>
      <c r="I143" s="11"/>
      <c r="J143" s="11"/>
      <c r="K143" s="11"/>
      <c r="L143" s="11"/>
    </row>
    <row r="144" spans="1:12" x14ac:dyDescent="0.25">
      <c r="A144" s="11"/>
      <c r="B144" s="11"/>
      <c r="C144" s="11"/>
      <c r="D144" s="11"/>
      <c r="E144" s="3">
        <f>IF(A144="","",COUNTIF('02_Guest_Database'!F2:F999,A144))</f>
      </c>
      <c r="F144" s="3">
        <f>IF(A144="","",MAX(0,D144-E144))</f>
      </c>
      <c r="G144" s="3">
        <f>IF(A144="","",IFERROR(E144/D144,0))</f>
      </c>
      <c r="H144" s="3">
        <f>IF(A144="","",IF(E144&gt;D144,"חריגת קיבולת",IF(E144=D144,"מלא","תקין")))</f>
      </c>
      <c r="I144" s="11"/>
      <c r="J144" s="11"/>
      <c r="K144" s="11"/>
      <c r="L144" s="11"/>
    </row>
    <row r="145" spans="1:12" x14ac:dyDescent="0.25">
      <c r="A145" s="11"/>
      <c r="B145" s="11"/>
      <c r="C145" s="11"/>
      <c r="D145" s="11"/>
      <c r="E145" s="3">
        <f>IF(A145="","",COUNTIF('02_Guest_Database'!F2:F999,A145))</f>
      </c>
      <c r="F145" s="3">
        <f>IF(A145="","",MAX(0,D145-E145))</f>
      </c>
      <c r="G145" s="3">
        <f>IF(A145="","",IFERROR(E145/D145,0))</f>
      </c>
      <c r="H145" s="3">
        <f>IF(A145="","",IF(E145&gt;D145,"חריגת קיבולת",IF(E145=D145,"מלא","תקין")))</f>
      </c>
      <c r="I145" s="11"/>
      <c r="J145" s="11"/>
      <c r="K145" s="11"/>
      <c r="L145" s="11"/>
    </row>
    <row r="146" spans="1:12" x14ac:dyDescent="0.25">
      <c r="A146" s="11"/>
      <c r="B146" s="11"/>
      <c r="C146" s="11"/>
      <c r="D146" s="11"/>
      <c r="E146" s="3">
        <f>IF(A146="","",COUNTIF('02_Guest_Database'!F2:F999,A146))</f>
      </c>
      <c r="F146" s="3">
        <f>IF(A146="","",MAX(0,D146-E146))</f>
      </c>
      <c r="G146" s="3">
        <f>IF(A146="","",IFERROR(E146/D146,0))</f>
      </c>
      <c r="H146" s="3">
        <f>IF(A146="","",IF(E146&gt;D146,"חריגת קיבולת",IF(E146=D146,"מלא","תקין")))</f>
      </c>
      <c r="I146" s="11"/>
      <c r="J146" s="11"/>
      <c r="K146" s="11"/>
      <c r="L146" s="11"/>
    </row>
    <row r="147" spans="1:12" x14ac:dyDescent="0.25">
      <c r="A147" s="11"/>
      <c r="B147" s="11"/>
      <c r="C147" s="11"/>
      <c r="D147" s="11"/>
      <c r="E147" s="3">
        <f>IF(A147="","",COUNTIF('02_Guest_Database'!F2:F999,A147))</f>
      </c>
      <c r="F147" s="3">
        <f>IF(A147="","",MAX(0,D147-E147))</f>
      </c>
      <c r="G147" s="3">
        <f>IF(A147="","",IFERROR(E147/D147,0))</f>
      </c>
      <c r="H147" s="3">
        <f>IF(A147="","",IF(E147&gt;D147,"חריגת קיבולת",IF(E147=D147,"מלא","תקין")))</f>
      </c>
      <c r="I147" s="11"/>
      <c r="J147" s="11"/>
      <c r="K147" s="11"/>
      <c r="L147" s="11"/>
    </row>
    <row r="148" spans="1:12" x14ac:dyDescent="0.25">
      <c r="A148" s="11"/>
      <c r="B148" s="11"/>
      <c r="C148" s="11"/>
      <c r="D148" s="11"/>
      <c r="E148" s="3">
        <f>IF(A148="","",COUNTIF('02_Guest_Database'!F2:F999,A148))</f>
      </c>
      <c r="F148" s="3">
        <f>IF(A148="","",MAX(0,D148-E148))</f>
      </c>
      <c r="G148" s="3">
        <f>IF(A148="","",IFERROR(E148/D148,0))</f>
      </c>
      <c r="H148" s="3">
        <f>IF(A148="","",IF(E148&gt;D148,"חריגת קיבולת",IF(E148=D148,"מלא","תקין")))</f>
      </c>
      <c r="I148" s="11"/>
      <c r="J148" s="11"/>
      <c r="K148" s="11"/>
      <c r="L148" s="11"/>
    </row>
    <row r="149" spans="1:12" x14ac:dyDescent="0.25">
      <c r="A149" s="11"/>
      <c r="B149" s="11"/>
      <c r="C149" s="11"/>
      <c r="D149" s="11"/>
      <c r="E149" s="3">
        <f>IF(A149="","",COUNTIF('02_Guest_Database'!F2:F999,A149))</f>
      </c>
      <c r="F149" s="3">
        <f>IF(A149="","",MAX(0,D149-E149))</f>
      </c>
      <c r="G149" s="3">
        <f>IF(A149="","",IFERROR(E149/D149,0))</f>
      </c>
      <c r="H149" s="3">
        <f>IF(A149="","",IF(E149&gt;D149,"חריגת קיבולת",IF(E149=D149,"מלא","תקין")))</f>
      </c>
      <c r="I149" s="11"/>
      <c r="J149" s="11"/>
      <c r="K149" s="11"/>
      <c r="L149" s="11"/>
    </row>
    <row r="150" spans="1:12" x14ac:dyDescent="0.25">
      <c r="A150" s="11"/>
      <c r="B150" s="11"/>
      <c r="C150" s="11"/>
      <c r="D150" s="11"/>
      <c r="E150" s="3">
        <f>IF(A150="","",COUNTIF('02_Guest_Database'!F2:F999,A150))</f>
      </c>
      <c r="F150" s="3">
        <f>IF(A150="","",MAX(0,D150-E150))</f>
      </c>
      <c r="G150" s="3">
        <f>IF(A150="","",IFERROR(E150/D150,0))</f>
      </c>
      <c r="H150" s="3">
        <f>IF(A150="","",IF(E150&gt;D150,"חריגת קיבולת",IF(E150=D150,"מלא","תקין")))</f>
      </c>
      <c r="I150" s="11"/>
      <c r="J150" s="11"/>
      <c r="K150" s="11"/>
      <c r="L150" s="11"/>
    </row>
    <row r="151" spans="1:12" x14ac:dyDescent="0.25">
      <c r="A151" s="11"/>
      <c r="B151" s="11"/>
      <c r="C151" s="11"/>
      <c r="D151" s="11"/>
      <c r="E151" s="3">
        <f>IF(A151="","",COUNTIF('02_Guest_Database'!F2:F999,A151))</f>
      </c>
      <c r="F151" s="3">
        <f>IF(A151="","",MAX(0,D151-E151))</f>
      </c>
      <c r="G151" s="3">
        <f>IF(A151="","",IFERROR(E151/D151,0))</f>
      </c>
      <c r="H151" s="3">
        <f>IF(A151="","",IF(E151&gt;D151,"חריגת קיבולת",IF(E151=D151,"מלא","תקין")))</f>
      </c>
      <c r="I151" s="11"/>
      <c r="J151" s="11"/>
      <c r="K151" s="11"/>
      <c r="L151" s="11"/>
    </row>
    <row r="152" spans="1:12" x14ac:dyDescent="0.25">
      <c r="A152" s="11"/>
      <c r="B152" s="11"/>
      <c r="C152" s="11"/>
      <c r="D152" s="11"/>
      <c r="E152" s="3">
        <f>IF(A152="","",COUNTIF('02_Guest_Database'!F2:F999,A152))</f>
      </c>
      <c r="F152" s="3">
        <f>IF(A152="","",MAX(0,D152-E152))</f>
      </c>
      <c r="G152" s="3">
        <f>IF(A152="","",IFERROR(E152/D152,0))</f>
      </c>
      <c r="H152" s="3">
        <f>IF(A152="","",IF(E152&gt;D152,"חריגת קיבולת",IF(E152=D152,"מלא","תקין")))</f>
      </c>
      <c r="I152" s="11"/>
      <c r="J152" s="11"/>
      <c r="K152" s="11"/>
      <c r="L152" s="11"/>
    </row>
    <row r="153" spans="1:12" x14ac:dyDescent="0.25">
      <c r="A153" s="11"/>
      <c r="B153" s="11"/>
      <c r="C153" s="11"/>
      <c r="D153" s="11"/>
      <c r="E153" s="3">
        <f>IF(A153="","",COUNTIF('02_Guest_Database'!F2:F999,A153))</f>
      </c>
      <c r="F153" s="3">
        <f>IF(A153="","",MAX(0,D153-E153))</f>
      </c>
      <c r="G153" s="3">
        <f>IF(A153="","",IFERROR(E153/D153,0))</f>
      </c>
      <c r="H153" s="3">
        <f>IF(A153="","",IF(E153&gt;D153,"חריגת קיבולת",IF(E153=D153,"מלא","תקין")))</f>
      </c>
      <c r="I153" s="11"/>
      <c r="J153" s="11"/>
      <c r="K153" s="11"/>
      <c r="L153" s="11"/>
    </row>
    <row r="154" spans="1:12" x14ac:dyDescent="0.25">
      <c r="A154" s="11"/>
      <c r="B154" s="11"/>
      <c r="C154" s="11"/>
      <c r="D154" s="11"/>
      <c r="E154" s="3">
        <f>IF(A154="","",COUNTIF('02_Guest_Database'!F2:F999,A154))</f>
      </c>
      <c r="F154" s="3">
        <f>IF(A154="","",MAX(0,D154-E154))</f>
      </c>
      <c r="G154" s="3">
        <f>IF(A154="","",IFERROR(E154/D154,0))</f>
      </c>
      <c r="H154" s="3">
        <f>IF(A154="","",IF(E154&gt;D154,"חריגת קיבולת",IF(E154=D154,"מלא","תקין")))</f>
      </c>
      <c r="I154" s="11"/>
      <c r="J154" s="11"/>
      <c r="K154" s="11"/>
      <c r="L154" s="11"/>
    </row>
    <row r="155" spans="1:12" x14ac:dyDescent="0.25">
      <c r="A155" s="11"/>
      <c r="B155" s="11"/>
      <c r="C155" s="11"/>
      <c r="D155" s="11"/>
      <c r="E155" s="3">
        <f>IF(A155="","",COUNTIF('02_Guest_Database'!F2:F999,A155))</f>
      </c>
      <c r="F155" s="3">
        <f>IF(A155="","",MAX(0,D155-E155))</f>
      </c>
      <c r="G155" s="3">
        <f>IF(A155="","",IFERROR(E155/D155,0))</f>
      </c>
      <c r="H155" s="3">
        <f>IF(A155="","",IF(E155&gt;D155,"חריגת קיבולת",IF(E155=D155,"מלא","תקין")))</f>
      </c>
      <c r="I155" s="11"/>
      <c r="J155" s="11"/>
      <c r="K155" s="11"/>
      <c r="L155" s="11"/>
    </row>
    <row r="156" spans="1:12" x14ac:dyDescent="0.25">
      <c r="A156" s="11"/>
      <c r="B156" s="11"/>
      <c r="C156" s="11"/>
      <c r="D156" s="11"/>
      <c r="E156" s="3">
        <f>IF(A156="","",COUNTIF('02_Guest_Database'!F2:F999,A156))</f>
      </c>
      <c r="F156" s="3">
        <f>IF(A156="","",MAX(0,D156-E156))</f>
      </c>
      <c r="G156" s="3">
        <f>IF(A156="","",IFERROR(E156/D156,0))</f>
      </c>
      <c r="H156" s="3">
        <f>IF(A156="","",IF(E156&gt;D156,"חריגת קיבולת",IF(E156=D156,"מלא","תקין")))</f>
      </c>
      <c r="I156" s="11"/>
      <c r="J156" s="11"/>
      <c r="K156" s="11"/>
      <c r="L156" s="11"/>
    </row>
    <row r="157" spans="1:12" x14ac:dyDescent="0.25">
      <c r="A157" s="11"/>
      <c r="B157" s="11"/>
      <c r="C157" s="11"/>
      <c r="D157" s="11"/>
      <c r="E157" s="3">
        <f>IF(A157="","",COUNTIF('02_Guest_Database'!F2:F999,A157))</f>
      </c>
      <c r="F157" s="3">
        <f>IF(A157="","",MAX(0,D157-E157))</f>
      </c>
      <c r="G157" s="3">
        <f>IF(A157="","",IFERROR(E157/D157,0))</f>
      </c>
      <c r="H157" s="3">
        <f>IF(A157="","",IF(E157&gt;D157,"חריגת קיבולת",IF(E157=D157,"מלא","תקין")))</f>
      </c>
      <c r="I157" s="11"/>
      <c r="J157" s="11"/>
      <c r="K157" s="11"/>
      <c r="L157" s="11"/>
    </row>
    <row r="158" spans="1:12" x14ac:dyDescent="0.25">
      <c r="A158" s="11"/>
      <c r="B158" s="11"/>
      <c r="C158" s="11"/>
      <c r="D158" s="11"/>
      <c r="E158" s="3">
        <f>IF(A158="","",COUNTIF('02_Guest_Database'!F2:F999,A158))</f>
      </c>
      <c r="F158" s="3">
        <f>IF(A158="","",MAX(0,D158-E158))</f>
      </c>
      <c r="G158" s="3">
        <f>IF(A158="","",IFERROR(E158/D158,0))</f>
      </c>
      <c r="H158" s="3">
        <f>IF(A158="","",IF(E158&gt;D158,"חריגת קיבולת",IF(E158=D158,"מלא","תקין")))</f>
      </c>
      <c r="I158" s="11"/>
      <c r="J158" s="11"/>
      <c r="K158" s="11"/>
      <c r="L158" s="11"/>
    </row>
    <row r="159" spans="1:12" x14ac:dyDescent="0.25">
      <c r="A159" s="11"/>
      <c r="B159" s="11"/>
      <c r="C159" s="11"/>
      <c r="D159" s="11"/>
      <c r="E159" s="3">
        <f>IF(A159="","",COUNTIF('02_Guest_Database'!F2:F999,A159))</f>
      </c>
      <c r="F159" s="3">
        <f>IF(A159="","",MAX(0,D159-E159))</f>
      </c>
      <c r="G159" s="3">
        <f>IF(A159="","",IFERROR(E159/D159,0))</f>
      </c>
      <c r="H159" s="3">
        <f>IF(A159="","",IF(E159&gt;D159,"חריגת קיבולת",IF(E159=D159,"מלא","תקין")))</f>
      </c>
      <c r="I159" s="11"/>
      <c r="J159" s="11"/>
      <c r="K159" s="11"/>
      <c r="L159" s="11"/>
    </row>
    <row r="160" spans="1:12" x14ac:dyDescent="0.25">
      <c r="A160" s="11"/>
      <c r="B160" s="11"/>
      <c r="C160" s="11"/>
      <c r="D160" s="11"/>
      <c r="E160" s="3">
        <f>IF(A160="","",COUNTIF('02_Guest_Database'!F2:F999,A160))</f>
      </c>
      <c r="F160" s="3">
        <f>IF(A160="","",MAX(0,D160-E160))</f>
      </c>
      <c r="G160" s="3">
        <f>IF(A160="","",IFERROR(E160/D160,0))</f>
      </c>
      <c r="H160" s="3">
        <f>IF(A160="","",IF(E160&gt;D160,"חריגת קיבולת",IF(E160=D160,"מלא","תקין")))</f>
      </c>
      <c r="I160" s="11"/>
      <c r="J160" s="11"/>
      <c r="K160" s="11"/>
      <c r="L160" s="11"/>
    </row>
    <row r="161" spans="1:12" x14ac:dyDescent="0.25">
      <c r="A161" s="11"/>
      <c r="B161" s="11"/>
      <c r="C161" s="11"/>
      <c r="D161" s="11"/>
      <c r="E161" s="3">
        <f>IF(A161="","",COUNTIF('02_Guest_Database'!F2:F999,A161))</f>
      </c>
      <c r="F161" s="3">
        <f>IF(A161="","",MAX(0,D161-E161))</f>
      </c>
      <c r="G161" s="3">
        <f>IF(A161="","",IFERROR(E161/D161,0))</f>
      </c>
      <c r="H161" s="3">
        <f>IF(A161="","",IF(E161&gt;D161,"חריגת קיבולת",IF(E161=D161,"מלא","תקין")))</f>
      </c>
      <c r="I161" s="11"/>
      <c r="J161" s="11"/>
      <c r="K161" s="11"/>
      <c r="L161" s="11"/>
    </row>
    <row r="162" spans="1:12" x14ac:dyDescent="0.25">
      <c r="A162" s="11"/>
      <c r="B162" s="11"/>
      <c r="C162" s="11"/>
      <c r="D162" s="11"/>
      <c r="E162" s="3">
        <f>IF(A162="","",COUNTIF('02_Guest_Database'!F2:F999,A162))</f>
      </c>
      <c r="F162" s="3">
        <f>IF(A162="","",MAX(0,D162-E162))</f>
      </c>
      <c r="G162" s="3">
        <f>IF(A162="","",IFERROR(E162/D162,0))</f>
      </c>
      <c r="H162" s="3">
        <f>IF(A162="","",IF(E162&gt;D162,"חריגת קיבולת",IF(E162=D162,"מלא","תקין")))</f>
      </c>
      <c r="I162" s="11"/>
      <c r="J162" s="11"/>
      <c r="K162" s="11"/>
      <c r="L162" s="11"/>
    </row>
    <row r="163" spans="1:12" x14ac:dyDescent="0.25">
      <c r="A163" s="11"/>
      <c r="B163" s="11"/>
      <c r="C163" s="11"/>
      <c r="D163" s="11"/>
      <c r="E163" s="3">
        <f>IF(A163="","",COUNTIF('02_Guest_Database'!F2:F999,A163))</f>
      </c>
      <c r="F163" s="3">
        <f>IF(A163="","",MAX(0,D163-E163))</f>
      </c>
      <c r="G163" s="3">
        <f>IF(A163="","",IFERROR(E163/D163,0))</f>
      </c>
      <c r="H163" s="3">
        <f>IF(A163="","",IF(E163&gt;D163,"חריגת קיבולת",IF(E163=D163,"מלא","תקין")))</f>
      </c>
      <c r="I163" s="11"/>
      <c r="J163" s="11"/>
      <c r="K163" s="11"/>
      <c r="L163" s="11"/>
    </row>
    <row r="164" spans="1:12" x14ac:dyDescent="0.25">
      <c r="A164" s="11"/>
      <c r="B164" s="11"/>
      <c r="C164" s="11"/>
      <c r="D164" s="11"/>
      <c r="E164" s="3">
        <f>IF(A164="","",COUNTIF('02_Guest_Database'!F2:F999,A164))</f>
      </c>
      <c r="F164" s="3">
        <f>IF(A164="","",MAX(0,D164-E164))</f>
      </c>
      <c r="G164" s="3">
        <f>IF(A164="","",IFERROR(E164/D164,0))</f>
      </c>
      <c r="H164" s="3">
        <f>IF(A164="","",IF(E164&gt;D164,"חריגת קיבולת",IF(E164=D164,"מלא","תקין")))</f>
      </c>
      <c r="I164" s="11"/>
      <c r="J164" s="11"/>
      <c r="K164" s="11"/>
      <c r="L164" s="11"/>
    </row>
    <row r="165" spans="1:12" x14ac:dyDescent="0.25">
      <c r="A165" s="11"/>
      <c r="B165" s="11"/>
      <c r="C165" s="11"/>
      <c r="D165" s="11"/>
      <c r="E165" s="3">
        <f>IF(A165="","",COUNTIF('02_Guest_Database'!F2:F999,A165))</f>
      </c>
      <c r="F165" s="3">
        <f>IF(A165="","",MAX(0,D165-E165))</f>
      </c>
      <c r="G165" s="3">
        <f>IF(A165="","",IFERROR(E165/D165,0))</f>
      </c>
      <c r="H165" s="3">
        <f>IF(A165="","",IF(E165&gt;D165,"חריגת קיבולת",IF(E165=D165,"מלא","תקין")))</f>
      </c>
      <c r="I165" s="11"/>
      <c r="J165" s="11"/>
      <c r="K165" s="11"/>
      <c r="L165" s="11"/>
    </row>
    <row r="166" spans="1:12" x14ac:dyDescent="0.25">
      <c r="A166" s="11"/>
      <c r="B166" s="11"/>
      <c r="C166" s="11"/>
      <c r="D166" s="11"/>
      <c r="E166" s="3">
        <f>IF(A166="","",COUNTIF('02_Guest_Database'!F2:F999,A166))</f>
      </c>
      <c r="F166" s="3">
        <f>IF(A166="","",MAX(0,D166-E166))</f>
      </c>
      <c r="G166" s="3">
        <f>IF(A166="","",IFERROR(E166/D166,0))</f>
      </c>
      <c r="H166" s="3">
        <f>IF(A166="","",IF(E166&gt;D166,"חריגת קיבולת",IF(E166=D166,"מלא","תקין")))</f>
      </c>
      <c r="I166" s="11"/>
      <c r="J166" s="11"/>
      <c r="K166" s="11"/>
      <c r="L166" s="11"/>
    </row>
    <row r="167" spans="1:12" x14ac:dyDescent="0.25">
      <c r="A167" s="11"/>
      <c r="B167" s="11"/>
      <c r="C167" s="11"/>
      <c r="D167" s="11"/>
      <c r="E167" s="3">
        <f>IF(A167="","",COUNTIF('02_Guest_Database'!F2:F999,A167))</f>
      </c>
      <c r="F167" s="3">
        <f>IF(A167="","",MAX(0,D167-E167))</f>
      </c>
      <c r="G167" s="3">
        <f>IF(A167="","",IFERROR(E167/D167,0))</f>
      </c>
      <c r="H167" s="3">
        <f>IF(A167="","",IF(E167&gt;D167,"חריגת קיבולת",IF(E167=D167,"מלא","תקין")))</f>
      </c>
      <c r="I167" s="11"/>
      <c r="J167" s="11"/>
      <c r="K167" s="11"/>
      <c r="L167" s="11"/>
    </row>
    <row r="168" spans="1:12" x14ac:dyDescent="0.25">
      <c r="A168" s="11"/>
      <c r="B168" s="11"/>
      <c r="C168" s="11"/>
      <c r="D168" s="11"/>
      <c r="E168" s="3">
        <f>IF(A168="","",COUNTIF('02_Guest_Database'!F2:F999,A168))</f>
      </c>
      <c r="F168" s="3">
        <f>IF(A168="","",MAX(0,D168-E168))</f>
      </c>
      <c r="G168" s="3">
        <f>IF(A168="","",IFERROR(E168/D168,0))</f>
      </c>
      <c r="H168" s="3">
        <f>IF(A168="","",IF(E168&gt;D168,"חריגת קיבולת",IF(E168=D168,"מלא","תקין")))</f>
      </c>
      <c r="I168" s="11"/>
      <c r="J168" s="11"/>
      <c r="K168" s="11"/>
      <c r="L168" s="11"/>
    </row>
    <row r="169" spans="1:12" x14ac:dyDescent="0.25">
      <c r="A169" s="11"/>
      <c r="B169" s="11"/>
      <c r="C169" s="11"/>
      <c r="D169" s="11"/>
      <c r="E169" s="3">
        <f>IF(A169="","",COUNTIF('02_Guest_Database'!F2:F999,A169))</f>
      </c>
      <c r="F169" s="3">
        <f>IF(A169="","",MAX(0,D169-E169))</f>
      </c>
      <c r="G169" s="3">
        <f>IF(A169="","",IFERROR(E169/D169,0))</f>
      </c>
      <c r="H169" s="3">
        <f>IF(A169="","",IF(E169&gt;D169,"חריגת קיבולת",IF(E169=D169,"מלא","תקין")))</f>
      </c>
      <c r="I169" s="11"/>
      <c r="J169" s="11"/>
      <c r="K169" s="11"/>
      <c r="L169" s="11"/>
    </row>
    <row r="170" spans="1:12" x14ac:dyDescent="0.25">
      <c r="A170" s="11"/>
      <c r="B170" s="11"/>
      <c r="C170" s="11"/>
      <c r="D170" s="11"/>
      <c r="E170" s="3">
        <f>IF(A170="","",COUNTIF('02_Guest_Database'!F2:F999,A170))</f>
      </c>
      <c r="F170" s="3">
        <f>IF(A170="","",MAX(0,D170-E170))</f>
      </c>
      <c r="G170" s="3">
        <f>IF(A170="","",IFERROR(E170/D170,0))</f>
      </c>
      <c r="H170" s="3">
        <f>IF(A170="","",IF(E170&gt;D170,"חריגת קיבולת",IF(E170=D170,"מלא","תקין")))</f>
      </c>
      <c r="I170" s="11"/>
      <c r="J170" s="11"/>
      <c r="K170" s="11"/>
      <c r="L170" s="11"/>
    </row>
    <row r="171" spans="1:12" x14ac:dyDescent="0.25">
      <c r="A171" s="11"/>
      <c r="B171" s="11"/>
      <c r="C171" s="11"/>
      <c r="D171" s="11"/>
      <c r="E171" s="3">
        <f>IF(A171="","",COUNTIF('02_Guest_Database'!F2:F999,A171))</f>
      </c>
      <c r="F171" s="3">
        <f>IF(A171="","",MAX(0,D171-E171))</f>
      </c>
      <c r="G171" s="3">
        <f>IF(A171="","",IFERROR(E171/D171,0))</f>
      </c>
      <c r="H171" s="3">
        <f>IF(A171="","",IF(E171&gt;D171,"חריגת קיבולת",IF(E171=D171,"מלא","תקין")))</f>
      </c>
      <c r="I171" s="11"/>
      <c r="J171" s="11"/>
      <c r="K171" s="11"/>
      <c r="L171" s="11"/>
    </row>
    <row r="172" spans="1:12" x14ac:dyDescent="0.25">
      <c r="A172" s="11"/>
      <c r="B172" s="11"/>
      <c r="C172" s="11"/>
      <c r="D172" s="11"/>
      <c r="E172" s="3">
        <f>IF(A172="","",COUNTIF('02_Guest_Database'!F2:F999,A172))</f>
      </c>
      <c r="F172" s="3">
        <f>IF(A172="","",MAX(0,D172-E172))</f>
      </c>
      <c r="G172" s="3">
        <f>IF(A172="","",IFERROR(E172/D172,0))</f>
      </c>
      <c r="H172" s="3">
        <f>IF(A172="","",IF(E172&gt;D172,"חריגת קיבולת",IF(E172=D172,"מלא","תקין")))</f>
      </c>
      <c r="I172" s="11"/>
      <c r="J172" s="11"/>
      <c r="K172" s="11"/>
      <c r="L172" s="11"/>
    </row>
    <row r="173" spans="1:12" x14ac:dyDescent="0.25">
      <c r="A173" s="11"/>
      <c r="B173" s="11"/>
      <c r="C173" s="11"/>
      <c r="D173" s="11"/>
      <c r="E173" s="3">
        <f>IF(A173="","",COUNTIF('02_Guest_Database'!F2:F999,A173))</f>
      </c>
      <c r="F173" s="3">
        <f>IF(A173="","",MAX(0,D173-E173))</f>
      </c>
      <c r="G173" s="3">
        <f>IF(A173="","",IFERROR(E173/D173,0))</f>
      </c>
      <c r="H173" s="3">
        <f>IF(A173="","",IF(E173&gt;D173,"חריגת קיבולת",IF(E173=D173,"מלא","תקין")))</f>
      </c>
      <c r="I173" s="11"/>
      <c r="J173" s="11"/>
      <c r="K173" s="11"/>
      <c r="L173" s="11"/>
    </row>
    <row r="174" spans="1:12" x14ac:dyDescent="0.25">
      <c r="A174" s="11"/>
      <c r="B174" s="11"/>
      <c r="C174" s="11"/>
      <c r="D174" s="11"/>
      <c r="E174" s="3">
        <f>IF(A174="","",COUNTIF('02_Guest_Database'!F2:F999,A174))</f>
      </c>
      <c r="F174" s="3">
        <f>IF(A174="","",MAX(0,D174-E174))</f>
      </c>
      <c r="G174" s="3">
        <f>IF(A174="","",IFERROR(E174/D174,0))</f>
      </c>
      <c r="H174" s="3">
        <f>IF(A174="","",IF(E174&gt;D174,"חריגת קיבולת",IF(E174=D174,"מלא","תקין")))</f>
      </c>
      <c r="I174" s="11"/>
      <c r="J174" s="11"/>
      <c r="K174" s="11"/>
      <c r="L174" s="11"/>
    </row>
    <row r="175" spans="1:12" x14ac:dyDescent="0.25">
      <c r="A175" s="11"/>
      <c r="B175" s="11"/>
      <c r="C175" s="11"/>
      <c r="D175" s="11"/>
      <c r="E175" s="3">
        <f>IF(A175="","",COUNTIF('02_Guest_Database'!F2:F999,A175))</f>
      </c>
      <c r="F175" s="3">
        <f>IF(A175="","",MAX(0,D175-E175))</f>
      </c>
      <c r="G175" s="3">
        <f>IF(A175="","",IFERROR(E175/D175,0))</f>
      </c>
      <c r="H175" s="3">
        <f>IF(A175="","",IF(E175&gt;D175,"חריגת קיבולת",IF(E175=D175,"מלא","תקין")))</f>
      </c>
      <c r="I175" s="11"/>
      <c r="J175" s="11"/>
      <c r="K175" s="11"/>
      <c r="L175" s="11"/>
    </row>
    <row r="176" spans="1:12" x14ac:dyDescent="0.25">
      <c r="A176" s="11"/>
      <c r="B176" s="11"/>
      <c r="C176" s="11"/>
      <c r="D176" s="11"/>
      <c r="E176" s="3">
        <f>IF(A176="","",COUNTIF('02_Guest_Database'!F2:F999,A176))</f>
      </c>
      <c r="F176" s="3">
        <f>IF(A176="","",MAX(0,D176-E176))</f>
      </c>
      <c r="G176" s="3">
        <f>IF(A176="","",IFERROR(E176/D176,0))</f>
      </c>
      <c r="H176" s="3">
        <f>IF(A176="","",IF(E176&gt;D176,"חריגת קיבולת",IF(E176=D176,"מלא","תקין")))</f>
      </c>
      <c r="I176" s="11"/>
      <c r="J176" s="11"/>
      <c r="K176" s="11"/>
      <c r="L176" s="11"/>
    </row>
    <row r="177" spans="1:12" x14ac:dyDescent="0.25">
      <c r="A177" s="11"/>
      <c r="B177" s="11"/>
      <c r="C177" s="11"/>
      <c r="D177" s="11"/>
      <c r="E177" s="3">
        <f>IF(A177="","",COUNTIF('02_Guest_Database'!F2:F999,A177))</f>
      </c>
      <c r="F177" s="3">
        <f>IF(A177="","",MAX(0,D177-E177))</f>
      </c>
      <c r="G177" s="3">
        <f>IF(A177="","",IFERROR(E177/D177,0))</f>
      </c>
      <c r="H177" s="3">
        <f>IF(A177="","",IF(E177&gt;D177,"חריגת קיבולת",IF(E177=D177,"מלא","תקין")))</f>
      </c>
      <c r="I177" s="11"/>
      <c r="J177" s="11"/>
      <c r="K177" s="11"/>
      <c r="L177" s="11"/>
    </row>
    <row r="178" spans="1:12" x14ac:dyDescent="0.25">
      <c r="A178" s="11"/>
      <c r="B178" s="11"/>
      <c r="C178" s="11"/>
      <c r="D178" s="11"/>
      <c r="E178" s="3">
        <f>IF(A178="","",COUNTIF('02_Guest_Database'!F2:F999,A178))</f>
      </c>
      <c r="F178" s="3">
        <f>IF(A178="","",MAX(0,D178-E178))</f>
      </c>
      <c r="G178" s="3">
        <f>IF(A178="","",IFERROR(E178/D178,0))</f>
      </c>
      <c r="H178" s="3">
        <f>IF(A178="","",IF(E178&gt;D178,"חריגת קיבולת",IF(E178=D178,"מלא","תקין")))</f>
      </c>
      <c r="I178" s="11"/>
      <c r="J178" s="11"/>
      <c r="K178" s="11"/>
      <c r="L178" s="11"/>
    </row>
    <row r="179" spans="1:12" x14ac:dyDescent="0.25">
      <c r="A179" s="11"/>
      <c r="B179" s="11"/>
      <c r="C179" s="11"/>
      <c r="D179" s="11"/>
      <c r="E179" s="3">
        <f>IF(A179="","",COUNTIF('02_Guest_Database'!F2:F999,A179))</f>
      </c>
      <c r="F179" s="3">
        <f>IF(A179="","",MAX(0,D179-E179))</f>
      </c>
      <c r="G179" s="3">
        <f>IF(A179="","",IFERROR(E179/D179,0))</f>
      </c>
      <c r="H179" s="3">
        <f>IF(A179="","",IF(E179&gt;D179,"חריגת קיבולת",IF(E179=D179,"מלא","תקין")))</f>
      </c>
      <c r="I179" s="11"/>
      <c r="J179" s="11"/>
      <c r="K179" s="11"/>
      <c r="L179" s="11"/>
    </row>
    <row r="180" spans="1:12" x14ac:dyDescent="0.25">
      <c r="A180" s="11"/>
      <c r="B180" s="11"/>
      <c r="C180" s="11"/>
      <c r="D180" s="11"/>
      <c r="E180" s="3">
        <f>IF(A180="","",COUNTIF('02_Guest_Database'!F2:F999,A180))</f>
      </c>
      <c r="F180" s="3">
        <f>IF(A180="","",MAX(0,D180-E180))</f>
      </c>
      <c r="G180" s="3">
        <f>IF(A180="","",IFERROR(E180/D180,0))</f>
      </c>
      <c r="H180" s="3">
        <f>IF(A180="","",IF(E180&gt;D180,"חריגת קיבולת",IF(E180=D180,"מלא","תקין")))</f>
      </c>
      <c r="I180" s="11"/>
      <c r="J180" s="11"/>
      <c r="K180" s="11"/>
      <c r="L180" s="11"/>
    </row>
    <row r="181" spans="1:12" x14ac:dyDescent="0.25">
      <c r="A181" s="11"/>
      <c r="B181" s="11"/>
      <c r="C181" s="11"/>
      <c r="D181" s="11"/>
      <c r="E181" s="3">
        <f>IF(A181="","",COUNTIF('02_Guest_Database'!F2:F999,A181))</f>
      </c>
      <c r="F181" s="3">
        <f>IF(A181="","",MAX(0,D181-E181))</f>
      </c>
      <c r="G181" s="3">
        <f>IF(A181="","",IFERROR(E181/D181,0))</f>
      </c>
      <c r="H181" s="3">
        <f>IF(A181="","",IF(E181&gt;D181,"חריגת קיבולת",IF(E181=D181,"מלא","תקין")))</f>
      </c>
      <c r="I181" s="11"/>
      <c r="J181" s="11"/>
      <c r="K181" s="11"/>
      <c r="L181" s="11"/>
    </row>
    <row r="182" spans="1:12" x14ac:dyDescent="0.25">
      <c r="A182" s="11"/>
      <c r="B182" s="11"/>
      <c r="C182" s="11"/>
      <c r="D182" s="11"/>
      <c r="E182" s="3">
        <f>IF(A182="","",COUNTIF('02_Guest_Database'!F2:F999,A182))</f>
      </c>
      <c r="F182" s="3">
        <f>IF(A182="","",MAX(0,D182-E182))</f>
      </c>
      <c r="G182" s="3">
        <f>IF(A182="","",IFERROR(E182/D182,0))</f>
      </c>
      <c r="H182" s="3">
        <f>IF(A182="","",IF(E182&gt;D182,"חריגת קיבולת",IF(E182=D182,"מלא","תקין")))</f>
      </c>
      <c r="I182" s="11"/>
      <c r="J182" s="11"/>
      <c r="K182" s="11"/>
      <c r="L182" s="11"/>
    </row>
    <row r="183" spans="1:12" x14ac:dyDescent="0.25">
      <c r="A183" s="11"/>
      <c r="B183" s="11"/>
      <c r="C183" s="11"/>
      <c r="D183" s="11"/>
      <c r="E183" s="3">
        <f>IF(A183="","",COUNTIF('02_Guest_Database'!F2:F999,A183))</f>
      </c>
      <c r="F183" s="3">
        <f>IF(A183="","",MAX(0,D183-E183))</f>
      </c>
      <c r="G183" s="3">
        <f>IF(A183="","",IFERROR(E183/D183,0))</f>
      </c>
      <c r="H183" s="3">
        <f>IF(A183="","",IF(E183&gt;D183,"חריגת קיבולת",IF(E183=D183,"מלא","תקין")))</f>
      </c>
      <c r="I183" s="11"/>
      <c r="J183" s="11"/>
      <c r="K183" s="11"/>
      <c r="L183" s="11"/>
    </row>
    <row r="184" spans="1:12" x14ac:dyDescent="0.25">
      <c r="A184" s="11"/>
      <c r="B184" s="11"/>
      <c r="C184" s="11"/>
      <c r="D184" s="11"/>
      <c r="E184" s="3">
        <f>IF(A184="","",COUNTIF('02_Guest_Database'!F2:F999,A184))</f>
      </c>
      <c r="F184" s="3">
        <f>IF(A184="","",MAX(0,D184-E184))</f>
      </c>
      <c r="G184" s="3">
        <f>IF(A184="","",IFERROR(E184/D184,0))</f>
      </c>
      <c r="H184" s="3">
        <f>IF(A184="","",IF(E184&gt;D184,"חריגת קיבולת",IF(E184=D184,"מלא","תקין")))</f>
      </c>
      <c r="I184" s="11"/>
      <c r="J184" s="11"/>
      <c r="K184" s="11"/>
      <c r="L184" s="11"/>
    </row>
    <row r="185" spans="1:12" x14ac:dyDescent="0.25">
      <c r="A185" s="11"/>
      <c r="B185" s="11"/>
      <c r="C185" s="11"/>
      <c r="D185" s="11"/>
      <c r="E185" s="3">
        <f>IF(A185="","",COUNTIF('02_Guest_Database'!F2:F999,A185))</f>
      </c>
      <c r="F185" s="3">
        <f>IF(A185="","",MAX(0,D185-E185))</f>
      </c>
      <c r="G185" s="3">
        <f>IF(A185="","",IFERROR(E185/D185,0))</f>
      </c>
      <c r="H185" s="3">
        <f>IF(A185="","",IF(E185&gt;D185,"חריגת קיבולת",IF(E185=D185,"מלא","תקין")))</f>
      </c>
      <c r="I185" s="11"/>
      <c r="J185" s="11"/>
      <c r="K185" s="11"/>
      <c r="L185" s="11"/>
    </row>
    <row r="186" spans="1:12" x14ac:dyDescent="0.25">
      <c r="A186" s="11"/>
      <c r="B186" s="11"/>
      <c r="C186" s="11"/>
      <c r="D186" s="11"/>
      <c r="E186" s="3">
        <f>IF(A186="","",COUNTIF('02_Guest_Database'!F2:F999,A186))</f>
      </c>
      <c r="F186" s="3">
        <f>IF(A186="","",MAX(0,D186-E186))</f>
      </c>
      <c r="G186" s="3">
        <f>IF(A186="","",IFERROR(E186/D186,0))</f>
      </c>
      <c r="H186" s="3">
        <f>IF(A186="","",IF(E186&gt;D186,"חריגת קיבולת",IF(E186=D186,"מלא","תקין")))</f>
      </c>
      <c r="I186" s="11"/>
      <c r="J186" s="11"/>
      <c r="K186" s="11"/>
      <c r="L186" s="11"/>
    </row>
    <row r="187" spans="1:12" x14ac:dyDescent="0.25">
      <c r="A187" s="11"/>
      <c r="B187" s="11"/>
      <c r="C187" s="11"/>
      <c r="D187" s="11"/>
      <c r="E187" s="3">
        <f>IF(A187="","",COUNTIF('02_Guest_Database'!F2:F999,A187))</f>
      </c>
      <c r="F187" s="3">
        <f>IF(A187="","",MAX(0,D187-E187))</f>
      </c>
      <c r="G187" s="3">
        <f>IF(A187="","",IFERROR(E187/D187,0))</f>
      </c>
      <c r="H187" s="3">
        <f>IF(A187="","",IF(E187&gt;D187,"חריגת קיבולת",IF(E187=D187,"מלא","תקין")))</f>
      </c>
      <c r="I187" s="11"/>
      <c r="J187" s="11"/>
      <c r="K187" s="11"/>
      <c r="L187" s="11"/>
    </row>
    <row r="188" spans="1:12" x14ac:dyDescent="0.25">
      <c r="A188" s="11"/>
      <c r="B188" s="11"/>
      <c r="C188" s="11"/>
      <c r="D188" s="11"/>
      <c r="E188" s="3">
        <f>IF(A188="","",COUNTIF('02_Guest_Database'!F2:F999,A188))</f>
      </c>
      <c r="F188" s="3">
        <f>IF(A188="","",MAX(0,D188-E188))</f>
      </c>
      <c r="G188" s="3">
        <f>IF(A188="","",IFERROR(E188/D188,0))</f>
      </c>
      <c r="H188" s="3">
        <f>IF(A188="","",IF(E188&gt;D188,"חריגת קיבולת",IF(E188=D188,"מלא","תקין")))</f>
      </c>
      <c r="I188" s="11"/>
      <c r="J188" s="11"/>
      <c r="K188" s="11"/>
      <c r="L188" s="11"/>
    </row>
    <row r="189" spans="1:12" x14ac:dyDescent="0.25">
      <c r="A189" s="11"/>
      <c r="B189" s="11"/>
      <c r="C189" s="11"/>
      <c r="D189" s="11"/>
      <c r="E189" s="3">
        <f>IF(A189="","",COUNTIF('02_Guest_Database'!F2:F999,A189))</f>
      </c>
      <c r="F189" s="3">
        <f>IF(A189="","",MAX(0,D189-E189))</f>
      </c>
      <c r="G189" s="3">
        <f>IF(A189="","",IFERROR(E189/D189,0))</f>
      </c>
      <c r="H189" s="3">
        <f>IF(A189="","",IF(E189&gt;D189,"חריגת קיבולת",IF(E189=D189,"מלא","תקין")))</f>
      </c>
      <c r="I189" s="11"/>
      <c r="J189" s="11"/>
      <c r="K189" s="11"/>
      <c r="L189" s="11"/>
    </row>
    <row r="190" spans="1:12" x14ac:dyDescent="0.25">
      <c r="A190" s="11"/>
      <c r="B190" s="11"/>
      <c r="C190" s="11"/>
      <c r="D190" s="11"/>
      <c r="E190" s="3">
        <f>IF(A190="","",COUNTIF('02_Guest_Database'!F2:F999,A190))</f>
      </c>
      <c r="F190" s="3">
        <f>IF(A190="","",MAX(0,D190-E190))</f>
      </c>
      <c r="G190" s="3">
        <f>IF(A190="","",IFERROR(E190/D190,0))</f>
      </c>
      <c r="H190" s="3">
        <f>IF(A190="","",IF(E190&gt;D190,"חריגת קיבולת",IF(E190=D190,"מלא","תקין")))</f>
      </c>
      <c r="I190" s="11"/>
      <c r="J190" s="11"/>
      <c r="K190" s="11"/>
      <c r="L190" s="11"/>
    </row>
    <row r="191" spans="1:12" x14ac:dyDescent="0.25">
      <c r="A191" s="11"/>
      <c r="B191" s="11"/>
      <c r="C191" s="11"/>
      <c r="D191" s="11"/>
      <c r="E191" s="3">
        <f>IF(A191="","",COUNTIF('02_Guest_Database'!F2:F999,A191))</f>
      </c>
      <c r="F191" s="3">
        <f>IF(A191="","",MAX(0,D191-E191))</f>
      </c>
      <c r="G191" s="3">
        <f>IF(A191="","",IFERROR(E191/D191,0))</f>
      </c>
      <c r="H191" s="3">
        <f>IF(A191="","",IF(E191&gt;D191,"חריגת קיבולת",IF(E191=D191,"מלא","תקין")))</f>
      </c>
      <c r="I191" s="11"/>
      <c r="J191" s="11"/>
      <c r="K191" s="11"/>
      <c r="L191" s="11"/>
    </row>
    <row r="192" spans="1:12" x14ac:dyDescent="0.25">
      <c r="A192" s="11"/>
      <c r="B192" s="11"/>
      <c r="C192" s="11"/>
      <c r="D192" s="11"/>
      <c r="E192" s="3">
        <f>IF(A192="","",COUNTIF('02_Guest_Database'!F2:F999,A192))</f>
      </c>
      <c r="F192" s="3">
        <f>IF(A192="","",MAX(0,D192-E192))</f>
      </c>
      <c r="G192" s="3">
        <f>IF(A192="","",IFERROR(E192/D192,0))</f>
      </c>
      <c r="H192" s="3">
        <f>IF(A192="","",IF(E192&gt;D192,"חריגת קיבולת",IF(E192=D192,"מלא","תקין")))</f>
      </c>
      <c r="I192" s="11"/>
      <c r="J192" s="11"/>
      <c r="K192" s="11"/>
      <c r="L192" s="11"/>
    </row>
    <row r="193" spans="1:12" x14ac:dyDescent="0.25">
      <c r="A193" s="11"/>
      <c r="B193" s="11"/>
      <c r="C193" s="11"/>
      <c r="D193" s="11"/>
      <c r="E193" s="3">
        <f>IF(A193="","",COUNTIF('02_Guest_Database'!F2:F999,A193))</f>
      </c>
      <c r="F193" s="3">
        <f>IF(A193="","",MAX(0,D193-E193))</f>
      </c>
      <c r="G193" s="3">
        <f>IF(A193="","",IFERROR(E193/D193,0))</f>
      </c>
      <c r="H193" s="3">
        <f>IF(A193="","",IF(E193&gt;D193,"חריגת קיבולת",IF(E193=D193,"מלא","תקין")))</f>
      </c>
      <c r="I193" s="11"/>
      <c r="J193" s="11"/>
      <c r="K193" s="11"/>
      <c r="L193" s="11"/>
    </row>
    <row r="194" spans="1:12" x14ac:dyDescent="0.25">
      <c r="A194" s="11"/>
      <c r="B194" s="11"/>
      <c r="C194" s="11"/>
      <c r="D194" s="11"/>
      <c r="E194" s="3">
        <f>IF(A194="","",COUNTIF('02_Guest_Database'!F2:F999,A194))</f>
      </c>
      <c r="F194" s="3">
        <f>IF(A194="","",MAX(0,D194-E194))</f>
      </c>
      <c r="G194" s="3">
        <f>IF(A194="","",IFERROR(E194/D194,0))</f>
      </c>
      <c r="H194" s="3">
        <f>IF(A194="","",IF(E194&gt;D194,"חריגת קיבולת",IF(E194=D194,"מלא","תקין")))</f>
      </c>
      <c r="I194" s="11"/>
      <c r="J194" s="11"/>
      <c r="K194" s="11"/>
      <c r="L194" s="11"/>
    </row>
    <row r="195" spans="1:12" x14ac:dyDescent="0.25">
      <c r="A195" s="11"/>
      <c r="B195" s="11"/>
      <c r="C195" s="11"/>
      <c r="D195" s="11"/>
      <c r="E195" s="3">
        <f>IF(A195="","",COUNTIF('02_Guest_Database'!F2:F999,A195))</f>
      </c>
      <c r="F195" s="3">
        <f>IF(A195="","",MAX(0,D195-E195))</f>
      </c>
      <c r="G195" s="3">
        <f>IF(A195="","",IFERROR(E195/D195,0))</f>
      </c>
      <c r="H195" s="3">
        <f>IF(A195="","",IF(E195&gt;D195,"חריגת קיבולת",IF(E195=D195,"מלא","תקין")))</f>
      </c>
      <c r="I195" s="11"/>
      <c r="J195" s="11"/>
      <c r="K195" s="11"/>
      <c r="L195" s="11"/>
    </row>
    <row r="196" spans="1:12" x14ac:dyDescent="0.25">
      <c r="A196" s="11"/>
      <c r="B196" s="11"/>
      <c r="C196" s="11"/>
      <c r="D196" s="11"/>
      <c r="E196" s="3">
        <f>IF(A196="","",COUNTIF('02_Guest_Database'!F2:F999,A196))</f>
      </c>
      <c r="F196" s="3">
        <f>IF(A196="","",MAX(0,D196-E196))</f>
      </c>
      <c r="G196" s="3">
        <f>IF(A196="","",IFERROR(E196/D196,0))</f>
      </c>
      <c r="H196" s="3">
        <f>IF(A196="","",IF(E196&gt;D196,"חריגת קיבולת",IF(E196=D196,"מלא","תקין")))</f>
      </c>
      <c r="I196" s="11"/>
      <c r="J196" s="11"/>
      <c r="K196" s="11"/>
      <c r="L196" s="11"/>
    </row>
    <row r="197" spans="1:12" x14ac:dyDescent="0.25">
      <c r="A197" s="11"/>
      <c r="B197" s="11"/>
      <c r="C197" s="11"/>
      <c r="D197" s="11"/>
      <c r="E197" s="3">
        <f>IF(A197="","",COUNTIF('02_Guest_Database'!F2:F999,A197))</f>
      </c>
      <c r="F197" s="3">
        <f>IF(A197="","",MAX(0,D197-E197))</f>
      </c>
      <c r="G197" s="3">
        <f>IF(A197="","",IFERROR(E197/D197,0))</f>
      </c>
      <c r="H197" s="3">
        <f>IF(A197="","",IF(E197&gt;D197,"חריגת קיבולת",IF(E197=D197,"מלא","תקין")))</f>
      </c>
      <c r="I197" s="11"/>
      <c r="J197" s="11"/>
      <c r="K197" s="11"/>
      <c r="L197" s="11"/>
    </row>
    <row r="198" spans="1:12" x14ac:dyDescent="0.25">
      <c r="A198" s="11"/>
      <c r="B198" s="11"/>
      <c r="C198" s="11"/>
      <c r="D198" s="11"/>
      <c r="E198" s="3">
        <f>IF(A198="","",COUNTIF('02_Guest_Database'!F2:F999,A198))</f>
      </c>
      <c r="F198" s="3">
        <f>IF(A198="","",MAX(0,D198-E198))</f>
      </c>
      <c r="G198" s="3">
        <f>IF(A198="","",IFERROR(E198/D198,0))</f>
      </c>
      <c r="H198" s="3">
        <f>IF(A198="","",IF(E198&gt;D198,"חריגת קיבולת",IF(E198=D198,"מלא","תקין")))</f>
      </c>
      <c r="I198" s="11"/>
      <c r="J198" s="11"/>
      <c r="K198" s="11"/>
      <c r="L198" s="11"/>
    </row>
    <row r="199" spans="1:12" x14ac:dyDescent="0.25">
      <c r="A199" s="11"/>
      <c r="B199" s="11"/>
      <c r="C199" s="11"/>
      <c r="D199" s="11"/>
      <c r="E199" s="3">
        <f>IF(A199="","",COUNTIF('02_Guest_Database'!F2:F999,A199))</f>
      </c>
      <c r="F199" s="3">
        <f>IF(A199="","",MAX(0,D199-E199))</f>
      </c>
      <c r="G199" s="3">
        <f>IF(A199="","",IFERROR(E199/D199,0))</f>
      </c>
      <c r="H199" s="3">
        <f>IF(A199="","",IF(E199&gt;D199,"חריגת קיבולת",IF(E199=D199,"מלא","תקין")))</f>
      </c>
      <c r="I199" s="11"/>
      <c r="J199" s="11"/>
      <c r="K199" s="11"/>
      <c r="L199" s="11"/>
    </row>
    <row r="200" spans="1:12" x14ac:dyDescent="0.25">
      <c r="A200" s="11"/>
      <c r="B200" s="11"/>
      <c r="C200" s="11"/>
      <c r="D200" s="11"/>
      <c r="E200" s="3">
        <f>IF(A200="","",COUNTIF('02_Guest_Database'!F2:F999,A200))</f>
      </c>
      <c r="F200" s="3">
        <f>IF(A200="","",MAX(0,D200-E200))</f>
      </c>
      <c r="G200" s="3">
        <f>IF(A200="","",IFERROR(E200/D200,0))</f>
      </c>
      <c r="H200" s="3">
        <f>IF(A200="","",IF(E200&gt;D200,"חריגת קיבולת",IF(E200=D200,"מלא","תקין")))</f>
      </c>
      <c r="I200" s="11"/>
      <c r="J200" s="11"/>
      <c r="K200" s="11"/>
      <c r="L200" s="11"/>
    </row>
    <row r="201" spans="1:12" x14ac:dyDescent="0.25">
      <c r="A201" s="11"/>
      <c r="B201" s="11"/>
      <c r="C201" s="11"/>
      <c r="D201" s="11"/>
      <c r="E201" s="3">
        <f>IF(A201="","",COUNTIF('02_Guest_Database'!F2:F999,A201))</f>
      </c>
      <c r="F201" s="3">
        <f>IF(A201="","",MAX(0,D201-E201))</f>
      </c>
      <c r="G201" s="3">
        <f>IF(A201="","",IFERROR(E201/D201,0))</f>
      </c>
      <c r="H201" s="3">
        <f>IF(A201="","",IF(E201&gt;D201,"חריגת קיבולת",IF(E201=D201,"מלא","תקין")))</f>
      </c>
      <c r="I201" s="11"/>
      <c r="J201" s="11"/>
      <c r="K201" s="11"/>
      <c r="L201" s="11"/>
    </row>
    <row r="202" spans="1:12" x14ac:dyDescent="0.25">
      <c r="A202" s="11"/>
      <c r="B202" s="11"/>
      <c r="C202" s="11"/>
      <c r="D202" s="11"/>
      <c r="E202" s="3">
        <f>IF(A202="","",COUNTIF('02_Guest_Database'!F2:F999,A202))</f>
      </c>
      <c r="F202" s="3">
        <f>IF(A202="","",MAX(0,D202-E202))</f>
      </c>
      <c r="G202" s="3">
        <f>IF(A202="","",IFERROR(E202/D202,0))</f>
      </c>
      <c r="H202" s="3">
        <f>IF(A202="","",IF(E202&gt;D202,"חריגת קיבולת",IF(E202=D202,"מלא","תקין")))</f>
      </c>
      <c r="I202" s="11"/>
      <c r="J202" s="11"/>
      <c r="K202" s="11"/>
      <c r="L202" s="11"/>
    </row>
    <row r="203" spans="1:12" x14ac:dyDescent="0.25">
      <c r="A203" s="11"/>
      <c r="B203" s="11"/>
      <c r="C203" s="11"/>
      <c r="D203" s="11"/>
      <c r="E203" s="3">
        <f>IF(A203="","",COUNTIF('02_Guest_Database'!F2:F999,A203))</f>
      </c>
      <c r="F203" s="3">
        <f>IF(A203="","",MAX(0,D203-E203))</f>
      </c>
      <c r="G203" s="3">
        <f>IF(A203="","",IFERROR(E203/D203,0))</f>
      </c>
      <c r="H203" s="3">
        <f>IF(A203="","",IF(E203&gt;D203,"חריגת קיבולת",IF(E203=D203,"מלא","תקין")))</f>
      </c>
      <c r="I203" s="11"/>
      <c r="J203" s="11"/>
      <c r="K203" s="11"/>
      <c r="L203" s="11"/>
    </row>
    <row r="204" spans="1:12" x14ac:dyDescent="0.25">
      <c r="A204" s="11"/>
      <c r="B204" s="11"/>
      <c r="C204" s="11"/>
      <c r="D204" s="11"/>
      <c r="E204" s="3">
        <f>IF(A204="","",COUNTIF('02_Guest_Database'!F2:F999,A204))</f>
      </c>
      <c r="F204" s="3">
        <f>IF(A204="","",MAX(0,D204-E204))</f>
      </c>
      <c r="G204" s="3">
        <f>IF(A204="","",IFERROR(E204/D204,0))</f>
      </c>
      <c r="H204" s="3">
        <f>IF(A204="","",IF(E204&gt;D204,"חריגת קיבולת",IF(E204=D204,"מלא","תקין")))</f>
      </c>
      <c r="I204" s="11"/>
      <c r="J204" s="11"/>
      <c r="K204" s="11"/>
      <c r="L204" s="11"/>
    </row>
    <row r="205" spans="1:12" x14ac:dyDescent="0.25">
      <c r="A205" s="11"/>
      <c r="B205" s="11"/>
      <c r="C205" s="11"/>
      <c r="D205" s="11"/>
      <c r="E205" s="3">
        <f>IF(A205="","",COUNTIF('02_Guest_Database'!F2:F999,A205))</f>
      </c>
      <c r="F205" s="3">
        <f>IF(A205="","",MAX(0,D205-E205))</f>
      </c>
      <c r="G205" s="3">
        <f>IF(A205="","",IFERROR(E205/D205,0))</f>
      </c>
      <c r="H205" s="3">
        <f>IF(A205="","",IF(E205&gt;D205,"חריגת קיבולת",IF(E205=D205,"מלא","תקין")))</f>
      </c>
      <c r="I205" s="11"/>
      <c r="J205" s="11"/>
      <c r="K205" s="11"/>
      <c r="L205" s="11"/>
    </row>
    <row r="206" spans="1:12" x14ac:dyDescent="0.25">
      <c r="A206" s="11"/>
      <c r="B206" s="11"/>
      <c r="C206" s="11"/>
      <c r="D206" s="11"/>
      <c r="E206" s="3">
        <f>IF(A206="","",COUNTIF('02_Guest_Database'!F2:F999,A206))</f>
      </c>
      <c r="F206" s="3">
        <f>IF(A206="","",MAX(0,D206-E206))</f>
      </c>
      <c r="G206" s="3">
        <f>IF(A206="","",IFERROR(E206/D206,0))</f>
      </c>
      <c r="H206" s="3">
        <f>IF(A206="","",IF(E206&gt;D206,"חריגת קיבולת",IF(E206=D206,"מלא","תקין")))</f>
      </c>
      <c r="I206" s="11"/>
      <c r="J206" s="11"/>
      <c r="K206" s="11"/>
      <c r="L206" s="11"/>
    </row>
    <row r="207" spans="1:12" x14ac:dyDescent="0.25">
      <c r="A207" s="11"/>
      <c r="B207" s="11"/>
      <c r="C207" s="11"/>
      <c r="D207" s="11"/>
      <c r="E207" s="3">
        <f>IF(A207="","",COUNTIF('02_Guest_Database'!F2:F999,A207))</f>
      </c>
      <c r="F207" s="3">
        <f>IF(A207="","",MAX(0,D207-E207))</f>
      </c>
      <c r="G207" s="3">
        <f>IF(A207="","",IFERROR(E207/D207,0))</f>
      </c>
      <c r="H207" s="3">
        <f>IF(A207="","",IF(E207&gt;D207,"חריגת קיבולת",IF(E207=D207,"מלא","תקין")))</f>
      </c>
      <c r="I207" s="11"/>
      <c r="J207" s="11"/>
      <c r="K207" s="11"/>
      <c r="L207" s="11"/>
    </row>
    <row r="208" spans="1:12" x14ac:dyDescent="0.25">
      <c r="A208" s="11"/>
      <c r="B208" s="11"/>
      <c r="C208" s="11"/>
      <c r="D208" s="11"/>
      <c r="E208" s="3">
        <f>IF(A208="","",COUNTIF('02_Guest_Database'!F2:F999,A208))</f>
      </c>
      <c r="F208" s="3">
        <f>IF(A208="","",MAX(0,D208-E208))</f>
      </c>
      <c r="G208" s="3">
        <f>IF(A208="","",IFERROR(E208/D208,0))</f>
      </c>
      <c r="H208" s="3">
        <f>IF(A208="","",IF(E208&gt;D208,"חריגת קיבולת",IF(E208=D208,"מלא","תקין")))</f>
      </c>
      <c r="I208" s="11"/>
      <c r="J208" s="11"/>
      <c r="K208" s="11"/>
      <c r="L208" s="11"/>
    </row>
    <row r="209" spans="1:12" x14ac:dyDescent="0.25">
      <c r="A209" s="11"/>
      <c r="B209" s="11"/>
      <c r="C209" s="11"/>
      <c r="D209" s="11"/>
      <c r="E209" s="3">
        <f>IF(A209="","",COUNTIF('02_Guest_Database'!F2:F999,A209))</f>
      </c>
      <c r="F209" s="3">
        <f>IF(A209="","",MAX(0,D209-E209))</f>
      </c>
      <c r="G209" s="3">
        <f>IF(A209="","",IFERROR(E209/D209,0))</f>
      </c>
      <c r="H209" s="3">
        <f>IF(A209="","",IF(E209&gt;D209,"חריגת קיבולת",IF(E209=D209,"מלא","תקין")))</f>
      </c>
      <c r="I209" s="11"/>
      <c r="J209" s="11"/>
      <c r="K209" s="11"/>
      <c r="L209" s="11"/>
    </row>
    <row r="210" spans="1:12" x14ac:dyDescent="0.25">
      <c r="A210" s="11"/>
      <c r="B210" s="11"/>
      <c r="C210" s="11"/>
      <c r="D210" s="11"/>
      <c r="E210" s="3">
        <f>IF(A210="","",COUNTIF('02_Guest_Database'!F2:F999,A210))</f>
      </c>
      <c r="F210" s="3">
        <f>IF(A210="","",MAX(0,D210-E210))</f>
      </c>
      <c r="G210" s="3">
        <f>IF(A210="","",IFERROR(E210/D210,0))</f>
      </c>
      <c r="H210" s="3">
        <f>IF(A210="","",IF(E210&gt;D210,"חריגת קיבולת",IF(E210=D210,"מלא","תקין")))</f>
      </c>
      <c r="I210" s="11"/>
      <c r="J210" s="11"/>
      <c r="K210" s="11"/>
      <c r="L210" s="11"/>
    </row>
    <row r="211" spans="1:12" x14ac:dyDescent="0.25">
      <c r="A211" s="11"/>
      <c r="B211" s="11"/>
      <c r="C211" s="11"/>
      <c r="D211" s="11"/>
      <c r="E211" s="3">
        <f>IF(A211="","",COUNTIF('02_Guest_Database'!F2:F999,A211))</f>
      </c>
      <c r="F211" s="3">
        <f>IF(A211="","",MAX(0,D211-E211))</f>
      </c>
      <c r="G211" s="3">
        <f>IF(A211="","",IFERROR(E211/D211,0))</f>
      </c>
      <c r="H211" s="3">
        <f>IF(A211="","",IF(E211&gt;D211,"חריגת קיבולת",IF(E211=D211,"מלא","תקין")))</f>
      </c>
      <c r="I211" s="11"/>
      <c r="J211" s="11"/>
      <c r="K211" s="11"/>
      <c r="L211" s="11"/>
    </row>
    <row r="212" spans="1:12" x14ac:dyDescent="0.25">
      <c r="A212" s="11"/>
      <c r="B212" s="11"/>
      <c r="C212" s="11"/>
      <c r="D212" s="11"/>
      <c r="E212" s="3">
        <f>IF(A212="","",COUNTIF('02_Guest_Database'!F2:F999,A212))</f>
      </c>
      <c r="F212" s="3">
        <f>IF(A212="","",MAX(0,D212-E212))</f>
      </c>
      <c r="G212" s="3">
        <f>IF(A212="","",IFERROR(E212/D212,0))</f>
      </c>
      <c r="H212" s="3">
        <f>IF(A212="","",IF(E212&gt;D212,"חריגת קיבולת",IF(E212=D212,"מלא","תקין")))</f>
      </c>
      <c r="I212" s="11"/>
      <c r="J212" s="11"/>
      <c r="K212" s="11"/>
      <c r="L212" s="11"/>
    </row>
    <row r="213" spans="1:12" x14ac:dyDescent="0.25">
      <c r="A213" s="11"/>
      <c r="B213" s="11"/>
      <c r="C213" s="11"/>
      <c r="D213" s="11"/>
      <c r="E213" s="3">
        <f>IF(A213="","",COUNTIF('02_Guest_Database'!F2:F999,A213))</f>
      </c>
      <c r="F213" s="3">
        <f>IF(A213="","",MAX(0,D213-E213))</f>
      </c>
      <c r="G213" s="3">
        <f>IF(A213="","",IFERROR(E213/D213,0))</f>
      </c>
      <c r="H213" s="3">
        <f>IF(A213="","",IF(E213&gt;D213,"חריגת קיבולת",IF(E213=D213,"מלא","תקין")))</f>
      </c>
      <c r="I213" s="11"/>
      <c r="J213" s="11"/>
      <c r="K213" s="11"/>
      <c r="L213" s="11"/>
    </row>
    <row r="214" spans="1:12" x14ac:dyDescent="0.25">
      <c r="A214" s="11"/>
      <c r="B214" s="11"/>
      <c r="C214" s="11"/>
      <c r="D214" s="11"/>
      <c r="E214" s="3">
        <f>IF(A214="","",COUNTIF('02_Guest_Database'!F2:F999,A214))</f>
      </c>
      <c r="F214" s="3">
        <f>IF(A214="","",MAX(0,D214-E214))</f>
      </c>
      <c r="G214" s="3">
        <f>IF(A214="","",IFERROR(E214/D214,0))</f>
      </c>
      <c r="H214" s="3">
        <f>IF(A214="","",IF(E214&gt;D214,"חריגת קיבולת",IF(E214=D214,"מלא","תקין")))</f>
      </c>
      <c r="I214" s="11"/>
      <c r="J214" s="11"/>
      <c r="K214" s="11"/>
      <c r="L214" s="11"/>
    </row>
    <row r="215" spans="1:12" x14ac:dyDescent="0.25">
      <c r="A215" s="11"/>
      <c r="B215" s="11"/>
      <c r="C215" s="11"/>
      <c r="D215" s="11"/>
      <c r="E215" s="3">
        <f>IF(A215="","",COUNTIF('02_Guest_Database'!F2:F999,A215))</f>
      </c>
      <c r="F215" s="3">
        <f>IF(A215="","",MAX(0,D215-E215))</f>
      </c>
      <c r="G215" s="3">
        <f>IF(A215="","",IFERROR(E215/D215,0))</f>
      </c>
      <c r="H215" s="3">
        <f>IF(A215="","",IF(E215&gt;D215,"חריגת קיבולת",IF(E215=D215,"מלא","תקין")))</f>
      </c>
      <c r="I215" s="11"/>
      <c r="J215" s="11"/>
      <c r="K215" s="11"/>
      <c r="L215" s="11"/>
    </row>
    <row r="216" spans="1:12" x14ac:dyDescent="0.25">
      <c r="A216" s="11"/>
      <c r="B216" s="11"/>
      <c r="C216" s="11"/>
      <c r="D216" s="11"/>
      <c r="E216" s="3">
        <f>IF(A216="","",COUNTIF('02_Guest_Database'!F2:F999,A216))</f>
      </c>
      <c r="F216" s="3">
        <f>IF(A216="","",MAX(0,D216-E216))</f>
      </c>
      <c r="G216" s="3">
        <f>IF(A216="","",IFERROR(E216/D216,0))</f>
      </c>
      <c r="H216" s="3">
        <f>IF(A216="","",IF(E216&gt;D216,"חריגת קיבולת",IF(E216=D216,"מלא","תקין")))</f>
      </c>
      <c r="I216" s="11"/>
      <c r="J216" s="11"/>
      <c r="K216" s="11"/>
      <c r="L216" s="11"/>
    </row>
    <row r="217" spans="1:12" x14ac:dyDescent="0.25">
      <c r="A217" s="11"/>
      <c r="B217" s="11"/>
      <c r="C217" s="11"/>
      <c r="D217" s="11"/>
      <c r="E217" s="3">
        <f>IF(A217="","",COUNTIF('02_Guest_Database'!F2:F999,A217))</f>
      </c>
      <c r="F217" s="3">
        <f>IF(A217="","",MAX(0,D217-E217))</f>
      </c>
      <c r="G217" s="3">
        <f>IF(A217="","",IFERROR(E217/D217,0))</f>
      </c>
      <c r="H217" s="3">
        <f>IF(A217="","",IF(E217&gt;D217,"חריגת קיבולת",IF(E217=D217,"מלא","תקין")))</f>
      </c>
      <c r="I217" s="11"/>
      <c r="J217" s="11"/>
      <c r="K217" s="11"/>
      <c r="L217" s="11"/>
    </row>
    <row r="218" spans="1:12" x14ac:dyDescent="0.25">
      <c r="A218" s="11"/>
      <c r="B218" s="11"/>
      <c r="C218" s="11"/>
      <c r="D218" s="11"/>
      <c r="E218" s="3">
        <f>IF(A218="","",COUNTIF('02_Guest_Database'!F2:F999,A218))</f>
      </c>
      <c r="F218" s="3">
        <f>IF(A218="","",MAX(0,D218-E218))</f>
      </c>
      <c r="G218" s="3">
        <f>IF(A218="","",IFERROR(E218/D218,0))</f>
      </c>
      <c r="H218" s="3">
        <f>IF(A218="","",IF(E218&gt;D218,"חריגת קיבולת",IF(E218=D218,"מלא","תקין")))</f>
      </c>
      <c r="I218" s="11"/>
      <c r="J218" s="11"/>
      <c r="K218" s="11"/>
      <c r="L218" s="11"/>
    </row>
    <row r="219" spans="1:12" x14ac:dyDescent="0.25">
      <c r="A219" s="11"/>
      <c r="B219" s="11"/>
      <c r="C219" s="11"/>
      <c r="D219" s="11"/>
      <c r="E219" s="3">
        <f>IF(A219="","",COUNTIF('02_Guest_Database'!F2:F999,A219))</f>
      </c>
      <c r="F219" s="3">
        <f>IF(A219="","",MAX(0,D219-E219))</f>
      </c>
      <c r="G219" s="3">
        <f>IF(A219="","",IFERROR(E219/D219,0))</f>
      </c>
      <c r="H219" s="3">
        <f>IF(A219="","",IF(E219&gt;D219,"חריגת קיבולת",IF(E219=D219,"מלא","תקין")))</f>
      </c>
      <c r="I219" s="11"/>
      <c r="J219" s="11"/>
      <c r="K219" s="11"/>
      <c r="L219" s="11"/>
    </row>
    <row r="220" spans="1:12" x14ac:dyDescent="0.25">
      <c r="A220" s="11"/>
      <c r="B220" s="11"/>
      <c r="C220" s="11"/>
      <c r="D220" s="11"/>
      <c r="E220" s="3">
        <f>IF(A220="","",COUNTIF('02_Guest_Database'!F2:F999,A220))</f>
      </c>
      <c r="F220" s="3">
        <f>IF(A220="","",MAX(0,D220-E220))</f>
      </c>
      <c r="G220" s="3">
        <f>IF(A220="","",IFERROR(E220/D220,0))</f>
      </c>
      <c r="H220" s="3">
        <f>IF(A220="","",IF(E220&gt;D220,"חריגת קיבולת",IF(E220=D220,"מלא","תקין")))</f>
      </c>
      <c r="I220" s="11"/>
      <c r="J220" s="11"/>
      <c r="K220" s="11"/>
      <c r="L220" s="11"/>
    </row>
    <row r="221" spans="1:12" x14ac:dyDescent="0.25">
      <c r="A221" s="11"/>
      <c r="B221" s="11"/>
      <c r="C221" s="11"/>
      <c r="D221" s="11"/>
      <c r="E221" s="3">
        <f>IF(A221="","",COUNTIF('02_Guest_Database'!F2:F999,A221))</f>
      </c>
      <c r="F221" s="3">
        <f>IF(A221="","",MAX(0,D221-E221))</f>
      </c>
      <c r="G221" s="3">
        <f>IF(A221="","",IFERROR(E221/D221,0))</f>
      </c>
      <c r="H221" s="3">
        <f>IF(A221="","",IF(E221&gt;D221,"חריגת קיבולת",IF(E221=D221,"מלא","תקין")))</f>
      </c>
      <c r="I221" s="11"/>
      <c r="J221" s="11"/>
      <c r="K221" s="11"/>
      <c r="L221" s="11"/>
    </row>
    <row r="222" spans="1:12" x14ac:dyDescent="0.25">
      <c r="A222" s="11"/>
      <c r="B222" s="11"/>
      <c r="C222" s="11"/>
      <c r="D222" s="11"/>
      <c r="E222" s="3">
        <f>IF(A222="","",COUNTIF('02_Guest_Database'!F2:F999,A222))</f>
      </c>
      <c r="F222" s="3">
        <f>IF(A222="","",MAX(0,D222-E222))</f>
      </c>
      <c r="G222" s="3">
        <f>IF(A222="","",IFERROR(E222/D222,0))</f>
      </c>
      <c r="H222" s="3">
        <f>IF(A222="","",IF(E222&gt;D222,"חריגת קיבולת",IF(E222=D222,"מלא","תקין")))</f>
      </c>
      <c r="I222" s="11"/>
      <c r="J222" s="11"/>
      <c r="K222" s="11"/>
      <c r="L222" s="11"/>
    </row>
    <row r="223" spans="1:12" x14ac:dyDescent="0.25">
      <c r="A223" s="11"/>
      <c r="B223" s="11"/>
      <c r="C223" s="11"/>
      <c r="D223" s="11"/>
      <c r="E223" s="3">
        <f>IF(A223="","",COUNTIF('02_Guest_Database'!F2:F999,A223))</f>
      </c>
      <c r="F223" s="3">
        <f>IF(A223="","",MAX(0,D223-E223))</f>
      </c>
      <c r="G223" s="3">
        <f>IF(A223="","",IFERROR(E223/D223,0))</f>
      </c>
      <c r="H223" s="3">
        <f>IF(A223="","",IF(E223&gt;D223,"חריגת קיבולת",IF(E223=D223,"מלא","תקין")))</f>
      </c>
      <c r="I223" s="11"/>
      <c r="J223" s="11"/>
      <c r="K223" s="11"/>
      <c r="L223" s="11"/>
    </row>
    <row r="224" spans="1:12" x14ac:dyDescent="0.25">
      <c r="A224" s="11"/>
      <c r="B224" s="11"/>
      <c r="C224" s="11"/>
      <c r="D224" s="11"/>
      <c r="E224" s="3">
        <f>IF(A224="","",COUNTIF('02_Guest_Database'!F2:F999,A224))</f>
      </c>
      <c r="F224" s="3">
        <f>IF(A224="","",MAX(0,D224-E224))</f>
      </c>
      <c r="G224" s="3">
        <f>IF(A224="","",IFERROR(E224/D224,0))</f>
      </c>
      <c r="H224" s="3">
        <f>IF(A224="","",IF(E224&gt;D224,"חריגת קיבולת",IF(E224=D224,"מלא","תקין")))</f>
      </c>
      <c r="I224" s="11"/>
      <c r="J224" s="11"/>
      <c r="K224" s="11"/>
      <c r="L224" s="11"/>
    </row>
    <row r="225" spans="1:12" x14ac:dyDescent="0.25">
      <c r="A225" s="11"/>
      <c r="B225" s="11"/>
      <c r="C225" s="11"/>
      <c r="D225" s="11"/>
      <c r="E225" s="3">
        <f>IF(A225="","",COUNTIF('02_Guest_Database'!F2:F999,A225))</f>
      </c>
      <c r="F225" s="3">
        <f>IF(A225="","",MAX(0,D225-E225))</f>
      </c>
      <c r="G225" s="3">
        <f>IF(A225="","",IFERROR(E225/D225,0))</f>
      </c>
      <c r="H225" s="3">
        <f>IF(A225="","",IF(E225&gt;D225,"חריגת קיבולת",IF(E225=D225,"מלא","תקין")))</f>
      </c>
      <c r="I225" s="11"/>
      <c r="J225" s="11"/>
      <c r="K225" s="11"/>
      <c r="L225" s="11"/>
    </row>
    <row r="226" spans="1:12" x14ac:dyDescent="0.25">
      <c r="A226" s="11"/>
      <c r="B226" s="11"/>
      <c r="C226" s="11"/>
      <c r="D226" s="11"/>
      <c r="E226" s="3">
        <f>IF(A226="","",COUNTIF('02_Guest_Database'!F2:F999,A226))</f>
      </c>
      <c r="F226" s="3">
        <f>IF(A226="","",MAX(0,D226-E226))</f>
      </c>
      <c r="G226" s="3">
        <f>IF(A226="","",IFERROR(E226/D226,0))</f>
      </c>
      <c r="H226" s="3">
        <f>IF(A226="","",IF(E226&gt;D226,"חריגת קיבולת",IF(E226=D226,"מלא","תקין")))</f>
      </c>
      <c r="I226" s="11"/>
      <c r="J226" s="11"/>
      <c r="K226" s="11"/>
      <c r="L226" s="11"/>
    </row>
    <row r="227" spans="1:12" x14ac:dyDescent="0.25">
      <c r="A227" s="11"/>
      <c r="B227" s="11"/>
      <c r="C227" s="11"/>
      <c r="D227" s="11"/>
      <c r="E227" s="3">
        <f>IF(A227="","",COUNTIF('02_Guest_Database'!F2:F999,A227))</f>
      </c>
      <c r="F227" s="3">
        <f>IF(A227="","",MAX(0,D227-E227))</f>
      </c>
      <c r="G227" s="3">
        <f>IF(A227="","",IFERROR(E227/D227,0))</f>
      </c>
      <c r="H227" s="3">
        <f>IF(A227="","",IF(E227&gt;D227,"חריגת קיבולת",IF(E227=D227,"מלא","תקין")))</f>
      </c>
      <c r="I227" s="11"/>
      <c r="J227" s="11"/>
      <c r="K227" s="11"/>
      <c r="L227" s="11"/>
    </row>
    <row r="228" spans="1:12" x14ac:dyDescent="0.25">
      <c r="A228" s="11"/>
      <c r="B228" s="11"/>
      <c r="C228" s="11"/>
      <c r="D228" s="11"/>
      <c r="E228" s="3">
        <f>IF(A228="","",COUNTIF('02_Guest_Database'!F2:F999,A228))</f>
      </c>
      <c r="F228" s="3">
        <f>IF(A228="","",MAX(0,D228-E228))</f>
      </c>
      <c r="G228" s="3">
        <f>IF(A228="","",IFERROR(E228/D228,0))</f>
      </c>
      <c r="H228" s="3">
        <f>IF(A228="","",IF(E228&gt;D228,"חריגת קיבולת",IF(E228=D228,"מלא","תקין")))</f>
      </c>
      <c r="I228" s="11"/>
      <c r="J228" s="11"/>
      <c r="K228" s="11"/>
      <c r="L228" s="11"/>
    </row>
    <row r="229" spans="1:12" x14ac:dyDescent="0.25">
      <c r="A229" s="11"/>
      <c r="B229" s="11"/>
      <c r="C229" s="11"/>
      <c r="D229" s="11"/>
      <c r="E229" s="3">
        <f>IF(A229="","",COUNTIF('02_Guest_Database'!F2:F999,A229))</f>
      </c>
      <c r="F229" s="3">
        <f>IF(A229="","",MAX(0,D229-E229))</f>
      </c>
      <c r="G229" s="3">
        <f>IF(A229="","",IFERROR(E229/D229,0))</f>
      </c>
      <c r="H229" s="3">
        <f>IF(A229="","",IF(E229&gt;D229,"חריגת קיבולת",IF(E229=D229,"מלא","תקין")))</f>
      </c>
      <c r="I229" s="11"/>
      <c r="J229" s="11"/>
      <c r="K229" s="11"/>
      <c r="L229" s="11"/>
    </row>
    <row r="230" spans="1:12" x14ac:dyDescent="0.25">
      <c r="A230" s="11"/>
      <c r="B230" s="11"/>
      <c r="C230" s="11"/>
      <c r="D230" s="11"/>
      <c r="E230" s="3">
        <f>IF(A230="","",COUNTIF('02_Guest_Database'!F2:F999,A230))</f>
      </c>
      <c r="F230" s="3">
        <f>IF(A230="","",MAX(0,D230-E230))</f>
      </c>
      <c r="G230" s="3">
        <f>IF(A230="","",IFERROR(E230/D230,0))</f>
      </c>
      <c r="H230" s="3">
        <f>IF(A230="","",IF(E230&gt;D230,"חריגת קיבולת",IF(E230=D230,"מלא","תקין")))</f>
      </c>
      <c r="I230" s="11"/>
      <c r="J230" s="11"/>
      <c r="K230" s="11"/>
      <c r="L230" s="11"/>
    </row>
    <row r="231" spans="1:12" x14ac:dyDescent="0.25">
      <c r="A231" s="11"/>
      <c r="B231" s="11"/>
      <c r="C231" s="11"/>
      <c r="D231" s="11"/>
      <c r="E231" s="3">
        <f>IF(A231="","",COUNTIF('02_Guest_Database'!F2:F999,A231))</f>
      </c>
      <c r="F231" s="3">
        <f>IF(A231="","",MAX(0,D231-E231))</f>
      </c>
      <c r="G231" s="3">
        <f>IF(A231="","",IFERROR(E231/D231,0))</f>
      </c>
      <c r="H231" s="3">
        <f>IF(A231="","",IF(E231&gt;D231,"חריגת קיבולת",IF(E231=D231,"מלא","תקין")))</f>
      </c>
      <c r="I231" s="11"/>
      <c r="J231" s="11"/>
      <c r="K231" s="11"/>
      <c r="L231" s="11"/>
    </row>
    <row r="232" spans="1:12" x14ac:dyDescent="0.25">
      <c r="A232" s="11"/>
      <c r="B232" s="11"/>
      <c r="C232" s="11"/>
      <c r="D232" s="11"/>
      <c r="E232" s="3">
        <f>IF(A232="","",COUNTIF('02_Guest_Database'!F2:F999,A232))</f>
      </c>
      <c r="F232" s="3">
        <f>IF(A232="","",MAX(0,D232-E232))</f>
      </c>
      <c r="G232" s="3">
        <f>IF(A232="","",IFERROR(E232/D232,0))</f>
      </c>
      <c r="H232" s="3">
        <f>IF(A232="","",IF(E232&gt;D232,"חריגת קיבולת",IF(E232=D232,"מלא","תקין")))</f>
      </c>
      <c r="I232" s="11"/>
      <c r="J232" s="11"/>
      <c r="K232" s="11"/>
      <c r="L232" s="11"/>
    </row>
    <row r="233" spans="1:12" x14ac:dyDescent="0.25">
      <c r="A233" s="11"/>
      <c r="B233" s="11"/>
      <c r="C233" s="11"/>
      <c r="D233" s="11"/>
      <c r="E233" s="3">
        <f>IF(A233="","",COUNTIF('02_Guest_Database'!F2:F999,A233))</f>
      </c>
      <c r="F233" s="3">
        <f>IF(A233="","",MAX(0,D233-E233))</f>
      </c>
      <c r="G233" s="3">
        <f>IF(A233="","",IFERROR(E233/D233,0))</f>
      </c>
      <c r="H233" s="3">
        <f>IF(A233="","",IF(E233&gt;D233,"חריגת קיבולת",IF(E233=D233,"מלא","תקין")))</f>
      </c>
      <c r="I233" s="11"/>
      <c r="J233" s="11"/>
      <c r="K233" s="11"/>
      <c r="L233" s="11"/>
    </row>
    <row r="234" spans="1:12" x14ac:dyDescent="0.25">
      <c r="A234" s="11"/>
      <c r="B234" s="11"/>
      <c r="C234" s="11"/>
      <c r="D234" s="11"/>
      <c r="E234" s="3">
        <f>IF(A234="","",COUNTIF('02_Guest_Database'!F2:F999,A234))</f>
      </c>
      <c r="F234" s="3">
        <f>IF(A234="","",MAX(0,D234-E234))</f>
      </c>
      <c r="G234" s="3">
        <f>IF(A234="","",IFERROR(E234/D234,0))</f>
      </c>
      <c r="H234" s="3">
        <f>IF(A234="","",IF(E234&gt;D234,"חריגת קיבולת",IF(E234=D234,"מלא","תקין")))</f>
      </c>
      <c r="I234" s="11"/>
      <c r="J234" s="11"/>
      <c r="K234" s="11"/>
      <c r="L234" s="11"/>
    </row>
    <row r="235" spans="1:12" x14ac:dyDescent="0.25">
      <c r="A235" s="11"/>
      <c r="B235" s="11"/>
      <c r="C235" s="11"/>
      <c r="D235" s="11"/>
      <c r="E235" s="3">
        <f>IF(A235="","",COUNTIF('02_Guest_Database'!F2:F999,A235))</f>
      </c>
      <c r="F235" s="3">
        <f>IF(A235="","",MAX(0,D235-E235))</f>
      </c>
      <c r="G235" s="3">
        <f>IF(A235="","",IFERROR(E235/D235,0))</f>
      </c>
      <c r="H235" s="3">
        <f>IF(A235="","",IF(E235&gt;D235,"חריגת קיבולת",IF(E235=D235,"מלא","תקין")))</f>
      </c>
      <c r="I235" s="11"/>
      <c r="J235" s="11"/>
      <c r="K235" s="11"/>
      <c r="L235" s="11"/>
    </row>
    <row r="236" spans="1:12" x14ac:dyDescent="0.25">
      <c r="A236" s="11"/>
      <c r="B236" s="11"/>
      <c r="C236" s="11"/>
      <c r="D236" s="11"/>
      <c r="E236" s="3">
        <f>IF(A236="","",COUNTIF('02_Guest_Database'!F2:F999,A236))</f>
      </c>
      <c r="F236" s="3">
        <f>IF(A236="","",MAX(0,D236-E236))</f>
      </c>
      <c r="G236" s="3">
        <f>IF(A236="","",IFERROR(E236/D236,0))</f>
      </c>
      <c r="H236" s="3">
        <f>IF(A236="","",IF(E236&gt;D236,"חריגת קיבולת",IF(E236=D236,"מלא","תקין")))</f>
      </c>
      <c r="I236" s="11"/>
      <c r="J236" s="11"/>
      <c r="K236" s="11"/>
      <c r="L236" s="11"/>
    </row>
    <row r="237" spans="1:12" x14ac:dyDescent="0.25">
      <c r="A237" s="11"/>
      <c r="B237" s="11"/>
      <c r="C237" s="11"/>
      <c r="D237" s="11"/>
      <c r="E237" s="3">
        <f>IF(A237="","",COUNTIF('02_Guest_Database'!F2:F999,A237))</f>
      </c>
      <c r="F237" s="3">
        <f>IF(A237="","",MAX(0,D237-E237))</f>
      </c>
      <c r="G237" s="3">
        <f>IF(A237="","",IFERROR(E237/D237,0))</f>
      </c>
      <c r="H237" s="3">
        <f>IF(A237="","",IF(E237&gt;D237,"חריגת קיבולת",IF(E237=D237,"מלא","תקין")))</f>
      </c>
      <c r="I237" s="11"/>
      <c r="J237" s="11"/>
      <c r="K237" s="11"/>
      <c r="L237" s="11"/>
    </row>
    <row r="238" spans="1:12" x14ac:dyDescent="0.25">
      <c r="A238" s="11"/>
      <c r="B238" s="11"/>
      <c r="C238" s="11"/>
      <c r="D238" s="11"/>
      <c r="E238" s="3">
        <f>IF(A238="","",COUNTIF('02_Guest_Database'!F2:F999,A238))</f>
      </c>
      <c r="F238" s="3">
        <f>IF(A238="","",MAX(0,D238-E238))</f>
      </c>
      <c r="G238" s="3">
        <f>IF(A238="","",IFERROR(E238/D238,0))</f>
      </c>
      <c r="H238" s="3">
        <f>IF(A238="","",IF(E238&gt;D238,"חריגת קיבולת",IF(E238=D238,"מלא","תקין")))</f>
      </c>
      <c r="I238" s="11"/>
      <c r="J238" s="11"/>
      <c r="K238" s="11"/>
      <c r="L238" s="11"/>
    </row>
    <row r="239" spans="1:12" x14ac:dyDescent="0.25">
      <c r="A239" s="11"/>
      <c r="B239" s="11"/>
      <c r="C239" s="11"/>
      <c r="D239" s="11"/>
      <c r="E239" s="3">
        <f>IF(A239="","",COUNTIF('02_Guest_Database'!F2:F999,A239))</f>
      </c>
      <c r="F239" s="3">
        <f>IF(A239="","",MAX(0,D239-E239))</f>
      </c>
      <c r="G239" s="3">
        <f>IF(A239="","",IFERROR(E239/D239,0))</f>
      </c>
      <c r="H239" s="3">
        <f>IF(A239="","",IF(E239&gt;D239,"חריגת קיבולת",IF(E239=D239,"מלא","תקין")))</f>
      </c>
      <c r="I239" s="11"/>
      <c r="J239" s="11"/>
      <c r="K239" s="11"/>
      <c r="L239" s="11"/>
    </row>
    <row r="240" spans="1:12" x14ac:dyDescent="0.25">
      <c r="A240" s="11"/>
      <c r="B240" s="11"/>
      <c r="C240" s="11"/>
      <c r="D240" s="11"/>
      <c r="E240" s="3">
        <f>IF(A240="","",COUNTIF('02_Guest_Database'!F2:F999,A240))</f>
      </c>
      <c r="F240" s="3">
        <f>IF(A240="","",MAX(0,D240-E240))</f>
      </c>
      <c r="G240" s="3">
        <f>IF(A240="","",IFERROR(E240/D240,0))</f>
      </c>
      <c r="H240" s="3">
        <f>IF(A240="","",IF(E240&gt;D240,"חריגת קיבולת",IF(E240=D240,"מלא","תקין")))</f>
      </c>
      <c r="I240" s="11"/>
      <c r="J240" s="11"/>
      <c r="K240" s="11"/>
      <c r="L240" s="11"/>
    </row>
    <row r="241" spans="1:12" x14ac:dyDescent="0.25">
      <c r="A241" s="11"/>
      <c r="B241" s="11"/>
      <c r="C241" s="11"/>
      <c r="D241" s="11"/>
      <c r="E241" s="3">
        <f>IF(A241="","",COUNTIF('02_Guest_Database'!F2:F999,A241))</f>
      </c>
      <c r="F241" s="3">
        <f>IF(A241="","",MAX(0,D241-E241))</f>
      </c>
      <c r="G241" s="3">
        <f>IF(A241="","",IFERROR(E241/D241,0))</f>
      </c>
      <c r="H241" s="3">
        <f>IF(A241="","",IF(E241&gt;D241,"חריגת קיבולת",IF(E241=D241,"מלא","תקין")))</f>
      </c>
      <c r="I241" s="11"/>
      <c r="J241" s="11"/>
      <c r="K241" s="11"/>
      <c r="L241" s="11"/>
    </row>
    <row r="242" spans="1:12" x14ac:dyDescent="0.25">
      <c r="A242" s="11"/>
      <c r="B242" s="11"/>
      <c r="C242" s="11"/>
      <c r="D242" s="11"/>
      <c r="E242" s="3">
        <f>IF(A242="","",COUNTIF('02_Guest_Database'!F2:F999,A242))</f>
      </c>
      <c r="F242" s="3">
        <f>IF(A242="","",MAX(0,D242-E242))</f>
      </c>
      <c r="G242" s="3">
        <f>IF(A242="","",IFERROR(E242/D242,0))</f>
      </c>
      <c r="H242" s="3">
        <f>IF(A242="","",IF(E242&gt;D242,"חריגת קיבולת",IF(E242=D242,"מלא","תקין")))</f>
      </c>
      <c r="I242" s="11"/>
      <c r="J242" s="11"/>
      <c r="K242" s="11"/>
      <c r="L242" s="11"/>
    </row>
    <row r="243" spans="1:12" x14ac:dyDescent="0.25">
      <c r="A243" s="11"/>
      <c r="B243" s="11"/>
      <c r="C243" s="11"/>
      <c r="D243" s="11"/>
      <c r="E243" s="3">
        <f>IF(A243="","",COUNTIF('02_Guest_Database'!F2:F999,A243))</f>
      </c>
      <c r="F243" s="3">
        <f>IF(A243="","",MAX(0,D243-E243))</f>
      </c>
      <c r="G243" s="3">
        <f>IF(A243="","",IFERROR(E243/D243,0))</f>
      </c>
      <c r="H243" s="3">
        <f>IF(A243="","",IF(E243&gt;D243,"חריגת קיבולת",IF(E243=D243,"מלא","תקין")))</f>
      </c>
      <c r="I243" s="11"/>
      <c r="J243" s="11"/>
      <c r="K243" s="11"/>
      <c r="L243" s="11"/>
    </row>
    <row r="244" spans="1:12" x14ac:dyDescent="0.25">
      <c r="A244" s="11"/>
      <c r="B244" s="11"/>
      <c r="C244" s="11"/>
      <c r="D244" s="11"/>
      <c r="E244" s="3">
        <f>IF(A244="","",COUNTIF('02_Guest_Database'!F2:F999,A244))</f>
      </c>
      <c r="F244" s="3">
        <f>IF(A244="","",MAX(0,D244-E244))</f>
      </c>
      <c r="G244" s="3">
        <f>IF(A244="","",IFERROR(E244/D244,0))</f>
      </c>
      <c r="H244" s="3">
        <f>IF(A244="","",IF(E244&gt;D244,"חריגת קיבולת",IF(E244=D244,"מלא","תקין")))</f>
      </c>
      <c r="I244" s="11"/>
      <c r="J244" s="11"/>
      <c r="K244" s="11"/>
      <c r="L244" s="11"/>
    </row>
    <row r="245" spans="1:12" x14ac:dyDescent="0.25">
      <c r="A245" s="11"/>
      <c r="B245" s="11"/>
      <c r="C245" s="11"/>
      <c r="D245" s="11"/>
      <c r="E245" s="3">
        <f>IF(A245="","",COUNTIF('02_Guest_Database'!F2:F999,A245))</f>
      </c>
      <c r="F245" s="3">
        <f>IF(A245="","",MAX(0,D245-E245))</f>
      </c>
      <c r="G245" s="3">
        <f>IF(A245="","",IFERROR(E245/D245,0))</f>
      </c>
      <c r="H245" s="3">
        <f>IF(A245="","",IF(E245&gt;D245,"חריגת קיבולת",IF(E245=D245,"מלא","תקין")))</f>
      </c>
      <c r="I245" s="11"/>
      <c r="J245" s="11"/>
      <c r="K245" s="11"/>
      <c r="L245" s="11"/>
    </row>
    <row r="246" spans="1:12" x14ac:dyDescent="0.25">
      <c r="A246" s="11"/>
      <c r="B246" s="11"/>
      <c r="C246" s="11"/>
      <c r="D246" s="11"/>
      <c r="E246" s="3">
        <f>IF(A246="","",COUNTIF('02_Guest_Database'!F2:F999,A246))</f>
      </c>
      <c r="F246" s="3">
        <f>IF(A246="","",MAX(0,D246-E246))</f>
      </c>
      <c r="G246" s="3">
        <f>IF(A246="","",IFERROR(E246/D246,0))</f>
      </c>
      <c r="H246" s="3">
        <f>IF(A246="","",IF(E246&gt;D246,"חריגת קיבולת",IF(E246=D246,"מלא","תקין")))</f>
      </c>
      <c r="I246" s="11"/>
      <c r="J246" s="11"/>
      <c r="K246" s="11"/>
      <c r="L246" s="11"/>
    </row>
    <row r="247" spans="1:12" x14ac:dyDescent="0.25">
      <c r="A247" s="11"/>
      <c r="B247" s="11"/>
      <c r="C247" s="11"/>
      <c r="D247" s="11"/>
      <c r="E247" s="3">
        <f>IF(A247="","",COUNTIF('02_Guest_Database'!F2:F999,A247))</f>
      </c>
      <c r="F247" s="3">
        <f>IF(A247="","",MAX(0,D247-E247))</f>
      </c>
      <c r="G247" s="3">
        <f>IF(A247="","",IFERROR(E247/D247,0))</f>
      </c>
      <c r="H247" s="3">
        <f>IF(A247="","",IF(E247&gt;D247,"חריגת קיבולת",IF(E247=D247,"מלא","תקין")))</f>
      </c>
      <c r="I247" s="11"/>
      <c r="J247" s="11"/>
      <c r="K247" s="11"/>
      <c r="L247" s="11"/>
    </row>
    <row r="248" spans="1:12" x14ac:dyDescent="0.25">
      <c r="A248" s="11"/>
      <c r="B248" s="11"/>
      <c r="C248" s="11"/>
      <c r="D248" s="11"/>
      <c r="E248" s="3">
        <f>IF(A248="","",COUNTIF('02_Guest_Database'!F2:F999,A248))</f>
      </c>
      <c r="F248" s="3">
        <f>IF(A248="","",MAX(0,D248-E248))</f>
      </c>
      <c r="G248" s="3">
        <f>IF(A248="","",IFERROR(E248/D248,0))</f>
      </c>
      <c r="H248" s="3">
        <f>IF(A248="","",IF(E248&gt;D248,"חריגת קיבולת",IF(E248=D248,"מלא","תקין")))</f>
      </c>
      <c r="I248" s="11"/>
      <c r="J248" s="11"/>
      <c r="K248" s="11"/>
      <c r="L248" s="11"/>
    </row>
    <row r="249" spans="1:12" x14ac:dyDescent="0.25">
      <c r="A249" s="11"/>
      <c r="B249" s="11"/>
      <c r="C249" s="11"/>
      <c r="D249" s="11"/>
      <c r="E249" s="3">
        <f>IF(A249="","",COUNTIF('02_Guest_Database'!F2:F999,A249))</f>
      </c>
      <c r="F249" s="3">
        <f>IF(A249="","",MAX(0,D249-E249))</f>
      </c>
      <c r="G249" s="3">
        <f>IF(A249="","",IFERROR(E249/D249,0))</f>
      </c>
      <c r="H249" s="3">
        <f>IF(A249="","",IF(E249&gt;D249,"חריגת קיבולת",IF(E249=D249,"מלא","תקין")))</f>
      </c>
      <c r="I249" s="11"/>
      <c r="J249" s="11"/>
      <c r="K249" s="11"/>
      <c r="L249" s="11"/>
    </row>
    <row r="250" spans="1:12" x14ac:dyDescent="0.25">
      <c r="A250" s="11"/>
      <c r="B250" s="11"/>
      <c r="C250" s="11"/>
      <c r="D250" s="11"/>
      <c r="E250" s="3">
        <f>IF(A250="","",COUNTIF('02_Guest_Database'!F2:F999,A250))</f>
      </c>
      <c r="F250" s="3">
        <f>IF(A250="","",MAX(0,D250-E250))</f>
      </c>
      <c r="G250" s="3">
        <f>IF(A250="","",IFERROR(E250/D250,0))</f>
      </c>
      <c r="H250" s="3">
        <f>IF(A250="","",IF(E250&gt;D250,"חריגת קיבולת",IF(E250=D250,"מלא","תקין")))</f>
      </c>
      <c r="I250" s="11"/>
      <c r="J250" s="11"/>
      <c r="K250" s="11"/>
      <c r="L250" s="11"/>
    </row>
    <row r="251" spans="1:12" x14ac:dyDescent="0.25">
      <c r="A251" s="11"/>
      <c r="B251" s="11"/>
      <c r="C251" s="11"/>
      <c r="D251" s="11"/>
      <c r="E251" s="3">
        <f>IF(A251="","",COUNTIF('02_Guest_Database'!F2:F999,A251))</f>
      </c>
      <c r="F251" s="3">
        <f>IF(A251="","",MAX(0,D251-E251))</f>
      </c>
      <c r="G251" s="3">
        <f>IF(A251="","",IFERROR(E251/D251,0))</f>
      </c>
      <c r="H251" s="3">
        <f>IF(A251="","",IF(E251&gt;D251,"חריגת קיבולת",IF(E251=D251,"מלא","תקין")))</f>
      </c>
      <c r="I251" s="11"/>
      <c r="J251" s="11"/>
      <c r="K251" s="11"/>
      <c r="L251" s="11"/>
    </row>
    <row r="252" spans="1:12" x14ac:dyDescent="0.25">
      <c r="A252" s="11"/>
      <c r="B252" s="11"/>
      <c r="C252" s="11"/>
      <c r="D252" s="11"/>
      <c r="E252" s="3">
        <f>IF(A252="","",COUNTIF('02_Guest_Database'!F2:F999,A252))</f>
      </c>
      <c r="F252" s="3">
        <f>IF(A252="","",MAX(0,D252-E252))</f>
      </c>
      <c r="G252" s="3">
        <f>IF(A252="","",IFERROR(E252/D252,0))</f>
      </c>
      <c r="H252" s="3">
        <f>IF(A252="","",IF(E252&gt;D252,"חריגת קיבולת",IF(E252=D252,"מלא","תקין")))</f>
      </c>
      <c r="I252" s="11"/>
      <c r="J252" s="11"/>
      <c r="K252" s="11"/>
      <c r="L252" s="11"/>
    </row>
    <row r="253" spans="1:12" x14ac:dyDescent="0.25">
      <c r="A253" s="11"/>
      <c r="B253" s="11"/>
      <c r="C253" s="11"/>
      <c r="D253" s="11"/>
      <c r="E253" s="3">
        <f>IF(A253="","",COUNTIF('02_Guest_Database'!F2:F999,A253))</f>
      </c>
      <c r="F253" s="3">
        <f>IF(A253="","",MAX(0,D253-E253))</f>
      </c>
      <c r="G253" s="3">
        <f>IF(A253="","",IFERROR(E253/D253,0))</f>
      </c>
      <c r="H253" s="3">
        <f>IF(A253="","",IF(E253&gt;D253,"חריגת קיבולת",IF(E253=D253,"מלא","תקין")))</f>
      </c>
      <c r="I253" s="11"/>
      <c r="J253" s="11"/>
      <c r="K253" s="11"/>
      <c r="L253" s="11"/>
    </row>
    <row r="254" spans="1:12" x14ac:dyDescent="0.25">
      <c r="A254" s="11"/>
      <c r="B254" s="11"/>
      <c r="C254" s="11"/>
      <c r="D254" s="11"/>
      <c r="E254" s="3">
        <f>IF(A254="","",COUNTIF('02_Guest_Database'!F2:F999,A254))</f>
      </c>
      <c r="F254" s="3">
        <f>IF(A254="","",MAX(0,D254-E254))</f>
      </c>
      <c r="G254" s="3">
        <f>IF(A254="","",IFERROR(E254/D254,0))</f>
      </c>
      <c r="H254" s="3">
        <f>IF(A254="","",IF(E254&gt;D254,"חריגת קיבולת",IF(E254=D254,"מלא","תקין")))</f>
      </c>
      <c r="I254" s="11"/>
      <c r="J254" s="11"/>
      <c r="K254" s="11"/>
      <c r="L254" s="11"/>
    </row>
    <row r="255" spans="1:12" x14ac:dyDescent="0.25">
      <c r="A255" s="11"/>
      <c r="B255" s="11"/>
      <c r="C255" s="11"/>
      <c r="D255" s="11"/>
      <c r="E255" s="3">
        <f>IF(A255="","",COUNTIF('02_Guest_Database'!F2:F999,A255))</f>
      </c>
      <c r="F255" s="3">
        <f>IF(A255="","",MAX(0,D255-E255))</f>
      </c>
      <c r="G255" s="3">
        <f>IF(A255="","",IFERROR(E255/D255,0))</f>
      </c>
      <c r="H255" s="3">
        <f>IF(A255="","",IF(E255&gt;D255,"חריגת קיבולת",IF(E255=D255,"מלא","תקין")))</f>
      </c>
      <c r="I255" s="11"/>
      <c r="J255" s="11"/>
      <c r="K255" s="11"/>
      <c r="L255" s="11"/>
    </row>
    <row r="256" spans="1:12" x14ac:dyDescent="0.25">
      <c r="A256" s="11"/>
      <c r="B256" s="11"/>
      <c r="C256" s="11"/>
      <c r="D256" s="11"/>
      <c r="E256" s="3">
        <f>IF(A256="","",COUNTIF('02_Guest_Database'!F2:F999,A256))</f>
      </c>
      <c r="F256" s="3">
        <f>IF(A256="","",MAX(0,D256-E256))</f>
      </c>
      <c r="G256" s="3">
        <f>IF(A256="","",IFERROR(E256/D256,0))</f>
      </c>
      <c r="H256" s="3">
        <f>IF(A256="","",IF(E256&gt;D256,"חריגת קיבולת",IF(E256=D256,"מלא","תקין")))</f>
      </c>
      <c r="I256" s="11"/>
      <c r="J256" s="11"/>
      <c r="K256" s="11"/>
      <c r="L256" s="11"/>
    </row>
    <row r="257" spans="1:12" x14ac:dyDescent="0.25">
      <c r="A257" s="11"/>
      <c r="B257" s="11"/>
      <c r="C257" s="11"/>
      <c r="D257" s="11"/>
      <c r="E257" s="3">
        <f>IF(A257="","",COUNTIF('02_Guest_Database'!F2:F999,A257))</f>
      </c>
      <c r="F257" s="3">
        <f>IF(A257="","",MAX(0,D257-E257))</f>
      </c>
      <c r="G257" s="3">
        <f>IF(A257="","",IFERROR(E257/D257,0))</f>
      </c>
      <c r="H257" s="3">
        <f>IF(A257="","",IF(E257&gt;D257,"חריגת קיבולת",IF(E257=D257,"מלא","תקין")))</f>
      </c>
      <c r="I257" s="11"/>
      <c r="J257" s="11"/>
      <c r="K257" s="11"/>
      <c r="L257" s="11"/>
    </row>
    <row r="258" spans="1:12" x14ac:dyDescent="0.25">
      <c r="A258" s="11"/>
      <c r="B258" s="11"/>
      <c r="C258" s="11"/>
      <c r="D258" s="11"/>
      <c r="E258" s="3">
        <f>IF(A258="","",COUNTIF('02_Guest_Database'!F2:F999,A258))</f>
      </c>
      <c r="F258" s="3">
        <f>IF(A258="","",MAX(0,D258-E258))</f>
      </c>
      <c r="G258" s="3">
        <f>IF(A258="","",IFERROR(E258/D258,0))</f>
      </c>
      <c r="H258" s="3">
        <f>IF(A258="","",IF(E258&gt;D258,"חריגת קיבולת",IF(E258=D258,"מלא","תקין")))</f>
      </c>
      <c r="I258" s="11"/>
      <c r="J258" s="11"/>
      <c r="K258" s="11"/>
      <c r="L258" s="11"/>
    </row>
    <row r="259" spans="1:12" x14ac:dyDescent="0.25">
      <c r="A259" s="11"/>
      <c r="B259" s="11"/>
      <c r="C259" s="11"/>
      <c r="D259" s="11"/>
      <c r="E259" s="3">
        <f>IF(A259="","",COUNTIF('02_Guest_Database'!F2:F999,A259))</f>
      </c>
      <c r="F259" s="3">
        <f>IF(A259="","",MAX(0,D259-E259))</f>
      </c>
      <c r="G259" s="3">
        <f>IF(A259="","",IFERROR(E259/D259,0))</f>
      </c>
      <c r="H259" s="3">
        <f>IF(A259="","",IF(E259&gt;D259,"חריגת קיבולת",IF(E259=D259,"מלא","תקין")))</f>
      </c>
      <c r="I259" s="11"/>
      <c r="J259" s="11"/>
      <c r="K259" s="11"/>
      <c r="L259" s="11"/>
    </row>
    <row r="260" spans="1:12" x14ac:dyDescent="0.25">
      <c r="A260" s="11"/>
      <c r="B260" s="11"/>
      <c r="C260" s="11"/>
      <c r="D260" s="11"/>
      <c r="E260" s="3">
        <f>IF(A260="","",COUNTIF('02_Guest_Database'!F2:F999,A260))</f>
      </c>
      <c r="F260" s="3">
        <f>IF(A260="","",MAX(0,D260-E260))</f>
      </c>
      <c r="G260" s="3">
        <f>IF(A260="","",IFERROR(E260/D260,0))</f>
      </c>
      <c r="H260" s="3">
        <f>IF(A260="","",IF(E260&gt;D260,"חריגת קיבולת",IF(E260=D260,"מלא","תקין")))</f>
      </c>
      <c r="I260" s="11"/>
      <c r="J260" s="11"/>
      <c r="K260" s="11"/>
      <c r="L260" s="11"/>
    </row>
    <row r="261" spans="1:12" x14ac:dyDescent="0.25">
      <c r="A261" s="11"/>
      <c r="B261" s="11"/>
      <c r="C261" s="11"/>
      <c r="D261" s="11"/>
      <c r="E261" s="3">
        <f>IF(A261="","",COUNTIF('02_Guest_Database'!F2:F999,A261))</f>
      </c>
      <c r="F261" s="3">
        <f>IF(A261="","",MAX(0,D261-E261))</f>
      </c>
      <c r="G261" s="3">
        <f>IF(A261="","",IFERROR(E261/D261,0))</f>
      </c>
      <c r="H261" s="3">
        <f>IF(A261="","",IF(E261&gt;D261,"חריגת קיבולת",IF(E261=D261,"מלא","תקין")))</f>
      </c>
      <c r="I261" s="11"/>
      <c r="J261" s="11"/>
      <c r="K261" s="11"/>
      <c r="L261" s="11"/>
    </row>
    <row r="262" spans="1:12" x14ac:dyDescent="0.25">
      <c r="A262" s="11"/>
      <c r="B262" s="11"/>
      <c r="C262" s="11"/>
      <c r="D262" s="11"/>
      <c r="E262" s="3">
        <f>IF(A262="","",COUNTIF('02_Guest_Database'!F2:F999,A262))</f>
      </c>
      <c r="F262" s="3">
        <f>IF(A262="","",MAX(0,D262-E262))</f>
      </c>
      <c r="G262" s="3">
        <f>IF(A262="","",IFERROR(E262/D262,0))</f>
      </c>
      <c r="H262" s="3">
        <f>IF(A262="","",IF(E262&gt;D262,"חריגת קיבולת",IF(E262=D262,"מלא","תקין")))</f>
      </c>
      <c r="I262" s="11"/>
      <c r="J262" s="11"/>
      <c r="K262" s="11"/>
      <c r="L262" s="11"/>
    </row>
    <row r="263" spans="1:12" x14ac:dyDescent="0.25">
      <c r="A263" s="11"/>
      <c r="B263" s="11"/>
      <c r="C263" s="11"/>
      <c r="D263" s="11"/>
      <c r="E263" s="3">
        <f>IF(A263="","",COUNTIF('02_Guest_Database'!F2:F999,A263))</f>
      </c>
      <c r="F263" s="3">
        <f>IF(A263="","",MAX(0,D263-E263))</f>
      </c>
      <c r="G263" s="3">
        <f>IF(A263="","",IFERROR(E263/D263,0))</f>
      </c>
      <c r="H263" s="3">
        <f>IF(A263="","",IF(E263&gt;D263,"חריגת קיבולת",IF(E263=D263,"מלא","תקין")))</f>
      </c>
      <c r="I263" s="11"/>
      <c r="J263" s="11"/>
      <c r="K263" s="11"/>
      <c r="L263" s="11"/>
    </row>
    <row r="264" spans="1:12" x14ac:dyDescent="0.25">
      <c r="A264" s="11"/>
      <c r="B264" s="11"/>
      <c r="C264" s="11"/>
      <c r="D264" s="11"/>
      <c r="E264" s="3">
        <f>IF(A264="","",COUNTIF('02_Guest_Database'!F2:F999,A264))</f>
      </c>
      <c r="F264" s="3">
        <f>IF(A264="","",MAX(0,D264-E264))</f>
      </c>
      <c r="G264" s="3">
        <f>IF(A264="","",IFERROR(E264/D264,0))</f>
      </c>
      <c r="H264" s="3">
        <f>IF(A264="","",IF(E264&gt;D264,"חריגת קיבולת",IF(E264=D264,"מלא","תקין")))</f>
      </c>
      <c r="I264" s="11"/>
      <c r="J264" s="11"/>
      <c r="K264" s="11"/>
      <c r="L264" s="11"/>
    </row>
    <row r="265" spans="1:12" x14ac:dyDescent="0.25">
      <c r="A265" s="11"/>
      <c r="B265" s="11"/>
      <c r="C265" s="11"/>
      <c r="D265" s="11"/>
      <c r="E265" s="3">
        <f>IF(A265="","",COUNTIF('02_Guest_Database'!F2:F999,A265))</f>
      </c>
      <c r="F265" s="3">
        <f>IF(A265="","",MAX(0,D265-E265))</f>
      </c>
      <c r="G265" s="3">
        <f>IF(A265="","",IFERROR(E265/D265,0))</f>
      </c>
      <c r="H265" s="3">
        <f>IF(A265="","",IF(E265&gt;D265,"חריגת קיבולת",IF(E265=D265,"מלא","תקין")))</f>
      </c>
      <c r="I265" s="11"/>
      <c r="J265" s="11"/>
      <c r="K265" s="11"/>
      <c r="L265" s="11"/>
    </row>
    <row r="266" spans="1:12" x14ac:dyDescent="0.25">
      <c r="A266" s="11"/>
      <c r="B266" s="11"/>
      <c r="C266" s="11"/>
      <c r="D266" s="11"/>
      <c r="E266" s="3">
        <f>IF(A266="","",COUNTIF('02_Guest_Database'!F2:F999,A266))</f>
      </c>
      <c r="F266" s="3">
        <f>IF(A266="","",MAX(0,D266-E266))</f>
      </c>
      <c r="G266" s="3">
        <f>IF(A266="","",IFERROR(E266/D266,0))</f>
      </c>
      <c r="H266" s="3">
        <f>IF(A266="","",IF(E266&gt;D266,"חריגת קיבולת",IF(E266=D266,"מלא","תקין")))</f>
      </c>
      <c r="I266" s="11"/>
      <c r="J266" s="11"/>
      <c r="K266" s="11"/>
      <c r="L266" s="11"/>
    </row>
    <row r="267" spans="1:12" x14ac:dyDescent="0.25">
      <c r="A267" s="11"/>
      <c r="B267" s="11"/>
      <c r="C267" s="11"/>
      <c r="D267" s="11"/>
      <c r="E267" s="3">
        <f>IF(A267="","",COUNTIF('02_Guest_Database'!F2:F999,A267))</f>
      </c>
      <c r="F267" s="3">
        <f>IF(A267="","",MAX(0,D267-E267))</f>
      </c>
      <c r="G267" s="3">
        <f>IF(A267="","",IFERROR(E267/D267,0))</f>
      </c>
      <c r="H267" s="3">
        <f>IF(A267="","",IF(E267&gt;D267,"חריגת קיבולת",IF(E267=D267,"מלא","תקין")))</f>
      </c>
      <c r="I267" s="11"/>
      <c r="J267" s="11"/>
      <c r="K267" s="11"/>
      <c r="L267" s="11"/>
    </row>
    <row r="268" spans="1:12" x14ac:dyDescent="0.25">
      <c r="A268" s="11"/>
      <c r="B268" s="11"/>
      <c r="C268" s="11"/>
      <c r="D268" s="11"/>
      <c r="E268" s="3">
        <f>IF(A268="","",COUNTIF('02_Guest_Database'!F2:F999,A268))</f>
      </c>
      <c r="F268" s="3">
        <f>IF(A268="","",MAX(0,D268-E268))</f>
      </c>
      <c r="G268" s="3">
        <f>IF(A268="","",IFERROR(E268/D268,0))</f>
      </c>
      <c r="H268" s="3">
        <f>IF(A268="","",IF(E268&gt;D268,"חריגת קיבולת",IF(E268=D268,"מלא","תקין")))</f>
      </c>
      <c r="I268" s="11"/>
      <c r="J268" s="11"/>
      <c r="K268" s="11"/>
      <c r="L268" s="11"/>
    </row>
    <row r="269" spans="1:12" x14ac:dyDescent="0.25">
      <c r="A269" s="11"/>
      <c r="B269" s="11"/>
      <c r="C269" s="11"/>
      <c r="D269" s="11"/>
      <c r="E269" s="3">
        <f>IF(A269="","",COUNTIF('02_Guest_Database'!F2:F999,A269))</f>
      </c>
      <c r="F269" s="3">
        <f>IF(A269="","",MAX(0,D269-E269))</f>
      </c>
      <c r="G269" s="3">
        <f>IF(A269="","",IFERROR(E269/D269,0))</f>
      </c>
      <c r="H269" s="3">
        <f>IF(A269="","",IF(E269&gt;D269,"חריגת קיבולת",IF(E269=D269,"מלא","תקין")))</f>
      </c>
      <c r="I269" s="11"/>
      <c r="J269" s="11"/>
      <c r="K269" s="11"/>
      <c r="L269" s="11"/>
    </row>
    <row r="270" spans="1:12" x14ac:dyDescent="0.25">
      <c r="A270" s="11"/>
      <c r="B270" s="11"/>
      <c r="C270" s="11"/>
      <c r="D270" s="11"/>
      <c r="E270" s="3">
        <f>IF(A270="","",COUNTIF('02_Guest_Database'!F2:F999,A270))</f>
      </c>
      <c r="F270" s="3">
        <f>IF(A270="","",MAX(0,D270-E270))</f>
      </c>
      <c r="G270" s="3">
        <f>IF(A270="","",IFERROR(E270/D270,0))</f>
      </c>
      <c r="H270" s="3">
        <f>IF(A270="","",IF(E270&gt;D270,"חריגת קיבולת",IF(E270=D270,"מלא","תקין")))</f>
      </c>
      <c r="I270" s="11"/>
      <c r="J270" s="11"/>
      <c r="K270" s="11"/>
      <c r="L270" s="11"/>
    </row>
    <row r="271" spans="1:12" x14ac:dyDescent="0.25">
      <c r="A271" s="11"/>
      <c r="B271" s="11"/>
      <c r="C271" s="11"/>
      <c r="D271" s="11"/>
      <c r="E271" s="3">
        <f>IF(A271="","",COUNTIF('02_Guest_Database'!F2:F999,A271))</f>
      </c>
      <c r="F271" s="3">
        <f>IF(A271="","",MAX(0,D271-E271))</f>
      </c>
      <c r="G271" s="3">
        <f>IF(A271="","",IFERROR(E271/D271,0))</f>
      </c>
      <c r="H271" s="3">
        <f>IF(A271="","",IF(E271&gt;D271,"חריגת קיבולת",IF(E271=D271,"מלא","תקין")))</f>
      </c>
      <c r="I271" s="11"/>
      <c r="J271" s="11"/>
      <c r="K271" s="11"/>
      <c r="L271" s="11"/>
    </row>
    <row r="272" spans="1:12" x14ac:dyDescent="0.25">
      <c r="A272" s="11"/>
      <c r="B272" s="11"/>
      <c r="C272" s="11"/>
      <c r="D272" s="11"/>
      <c r="E272" s="3">
        <f>IF(A272="","",COUNTIF('02_Guest_Database'!F2:F999,A272))</f>
      </c>
      <c r="F272" s="3">
        <f>IF(A272="","",MAX(0,D272-E272))</f>
      </c>
      <c r="G272" s="3">
        <f>IF(A272="","",IFERROR(E272/D272,0))</f>
      </c>
      <c r="H272" s="3">
        <f>IF(A272="","",IF(E272&gt;D272,"חריגת קיבולת",IF(E272=D272,"מלא","תקין")))</f>
      </c>
      <c r="I272" s="11"/>
      <c r="J272" s="11"/>
      <c r="K272" s="11"/>
      <c r="L272" s="11"/>
    </row>
    <row r="273" spans="1:12" x14ac:dyDescent="0.25">
      <c r="A273" s="11"/>
      <c r="B273" s="11"/>
      <c r="C273" s="11"/>
      <c r="D273" s="11"/>
      <c r="E273" s="3">
        <f>IF(A273="","",COUNTIF('02_Guest_Database'!F2:F999,A273))</f>
      </c>
      <c r="F273" s="3">
        <f>IF(A273="","",MAX(0,D273-E273))</f>
      </c>
      <c r="G273" s="3">
        <f>IF(A273="","",IFERROR(E273/D273,0))</f>
      </c>
      <c r="H273" s="3">
        <f>IF(A273="","",IF(E273&gt;D273,"חריגת קיבולת",IF(E273=D273,"מלא","תקין")))</f>
      </c>
      <c r="I273" s="11"/>
      <c r="J273" s="11"/>
      <c r="K273" s="11"/>
      <c r="L273" s="11"/>
    </row>
    <row r="274" spans="1:12" x14ac:dyDescent="0.25">
      <c r="A274" s="11"/>
      <c r="B274" s="11"/>
      <c r="C274" s="11"/>
      <c r="D274" s="11"/>
      <c r="E274" s="3">
        <f>IF(A274="","",COUNTIF('02_Guest_Database'!F2:F999,A274))</f>
      </c>
      <c r="F274" s="3">
        <f>IF(A274="","",MAX(0,D274-E274))</f>
      </c>
      <c r="G274" s="3">
        <f>IF(A274="","",IFERROR(E274/D274,0))</f>
      </c>
      <c r="H274" s="3">
        <f>IF(A274="","",IF(E274&gt;D274,"חריגת קיבולת",IF(E274=D274,"מלא","תקין")))</f>
      </c>
      <c r="I274" s="11"/>
      <c r="J274" s="11"/>
      <c r="K274" s="11"/>
      <c r="L274" s="11"/>
    </row>
    <row r="275" spans="1:12" x14ac:dyDescent="0.25">
      <c r="A275" s="11"/>
      <c r="B275" s="11"/>
      <c r="C275" s="11"/>
      <c r="D275" s="11"/>
      <c r="E275" s="3">
        <f>IF(A275="","",COUNTIF('02_Guest_Database'!F2:F999,A275))</f>
      </c>
      <c r="F275" s="3">
        <f>IF(A275="","",MAX(0,D275-E275))</f>
      </c>
      <c r="G275" s="3">
        <f>IF(A275="","",IFERROR(E275/D275,0))</f>
      </c>
      <c r="H275" s="3">
        <f>IF(A275="","",IF(E275&gt;D275,"חריגת קיבולת",IF(E275=D275,"מלא","תקין")))</f>
      </c>
      <c r="I275" s="11"/>
      <c r="J275" s="11"/>
      <c r="K275" s="11"/>
      <c r="L275" s="11"/>
    </row>
    <row r="276" spans="1:12" x14ac:dyDescent="0.25">
      <c r="A276" s="11"/>
      <c r="B276" s="11"/>
      <c r="C276" s="11"/>
      <c r="D276" s="11"/>
      <c r="E276" s="3">
        <f>IF(A276="","",COUNTIF('02_Guest_Database'!F2:F999,A276))</f>
      </c>
      <c r="F276" s="3">
        <f>IF(A276="","",MAX(0,D276-E276))</f>
      </c>
      <c r="G276" s="3">
        <f>IF(A276="","",IFERROR(E276/D276,0))</f>
      </c>
      <c r="H276" s="3">
        <f>IF(A276="","",IF(E276&gt;D276,"חריגת קיבולת",IF(E276=D276,"מלא","תקין")))</f>
      </c>
      <c r="I276" s="11"/>
      <c r="J276" s="11"/>
      <c r="K276" s="11"/>
      <c r="L276" s="11"/>
    </row>
    <row r="277" spans="1:12" x14ac:dyDescent="0.25">
      <c r="A277" s="11"/>
      <c r="B277" s="11"/>
      <c r="C277" s="11"/>
      <c r="D277" s="11"/>
      <c r="E277" s="3">
        <f>IF(A277="","",COUNTIF('02_Guest_Database'!F2:F999,A277))</f>
      </c>
      <c r="F277" s="3">
        <f>IF(A277="","",MAX(0,D277-E277))</f>
      </c>
      <c r="G277" s="3">
        <f>IF(A277="","",IFERROR(E277/D277,0))</f>
      </c>
      <c r="H277" s="3">
        <f>IF(A277="","",IF(E277&gt;D277,"חריגת קיבולת",IF(E277=D277,"מלא","תקין")))</f>
      </c>
      <c r="I277" s="11"/>
      <c r="J277" s="11"/>
      <c r="K277" s="11"/>
      <c r="L277" s="11"/>
    </row>
    <row r="278" spans="1:12" x14ac:dyDescent="0.25">
      <c r="A278" s="11"/>
      <c r="B278" s="11"/>
      <c r="C278" s="11"/>
      <c r="D278" s="11"/>
      <c r="E278" s="3">
        <f>IF(A278="","",COUNTIF('02_Guest_Database'!F2:F999,A278))</f>
      </c>
      <c r="F278" s="3">
        <f>IF(A278="","",MAX(0,D278-E278))</f>
      </c>
      <c r="G278" s="3">
        <f>IF(A278="","",IFERROR(E278/D278,0))</f>
      </c>
      <c r="H278" s="3">
        <f>IF(A278="","",IF(E278&gt;D278,"חריגת קיבולת",IF(E278=D278,"מלא","תקין")))</f>
      </c>
      <c r="I278" s="11"/>
      <c r="J278" s="11"/>
      <c r="K278" s="11"/>
      <c r="L278" s="11"/>
    </row>
    <row r="279" spans="1:12" x14ac:dyDescent="0.25">
      <c r="A279" s="11"/>
      <c r="B279" s="11"/>
      <c r="C279" s="11"/>
      <c r="D279" s="11"/>
      <c r="E279" s="3">
        <f>IF(A279="","",COUNTIF('02_Guest_Database'!F2:F999,A279))</f>
      </c>
      <c r="F279" s="3">
        <f>IF(A279="","",MAX(0,D279-E279))</f>
      </c>
      <c r="G279" s="3">
        <f>IF(A279="","",IFERROR(E279/D279,0))</f>
      </c>
      <c r="H279" s="3">
        <f>IF(A279="","",IF(E279&gt;D279,"חריגת קיבולת",IF(E279=D279,"מלא","תקין")))</f>
      </c>
      <c r="I279" s="11"/>
      <c r="J279" s="11"/>
      <c r="K279" s="11"/>
      <c r="L279" s="11"/>
    </row>
    <row r="280" spans="1:12" x14ac:dyDescent="0.25">
      <c r="A280" s="11"/>
      <c r="B280" s="11"/>
      <c r="C280" s="11"/>
      <c r="D280" s="11"/>
      <c r="E280" s="3">
        <f>IF(A280="","",COUNTIF('02_Guest_Database'!F2:F999,A280))</f>
      </c>
      <c r="F280" s="3">
        <f>IF(A280="","",MAX(0,D280-E280))</f>
      </c>
      <c r="G280" s="3">
        <f>IF(A280="","",IFERROR(E280/D280,0))</f>
      </c>
      <c r="H280" s="3">
        <f>IF(A280="","",IF(E280&gt;D280,"חריגת קיבולת",IF(E280=D280,"מלא","תקין")))</f>
      </c>
      <c r="I280" s="11"/>
      <c r="J280" s="11"/>
      <c r="K280" s="11"/>
      <c r="L280" s="11"/>
    </row>
    <row r="281" spans="1:12" x14ac:dyDescent="0.25">
      <c r="A281" s="11"/>
      <c r="B281" s="11"/>
      <c r="C281" s="11"/>
      <c r="D281" s="11"/>
      <c r="E281" s="3">
        <f>IF(A281="","",COUNTIF('02_Guest_Database'!F2:F999,A281))</f>
      </c>
      <c r="F281" s="3">
        <f>IF(A281="","",MAX(0,D281-E281))</f>
      </c>
      <c r="G281" s="3">
        <f>IF(A281="","",IFERROR(E281/D281,0))</f>
      </c>
      <c r="H281" s="3">
        <f>IF(A281="","",IF(E281&gt;D281,"חריגת קיבולת",IF(E281=D281,"מלא","תקין")))</f>
      </c>
      <c r="I281" s="11"/>
      <c r="J281" s="11"/>
      <c r="K281" s="11"/>
      <c r="L281" s="11"/>
    </row>
    <row r="282" spans="1:12" x14ac:dyDescent="0.25">
      <c r="A282" s="11"/>
      <c r="B282" s="11"/>
      <c r="C282" s="11"/>
      <c r="D282" s="11"/>
      <c r="E282" s="3">
        <f>IF(A282="","",COUNTIF('02_Guest_Database'!F2:F999,A282))</f>
      </c>
      <c r="F282" s="3">
        <f>IF(A282="","",MAX(0,D282-E282))</f>
      </c>
      <c r="G282" s="3">
        <f>IF(A282="","",IFERROR(E282/D282,0))</f>
      </c>
      <c r="H282" s="3">
        <f>IF(A282="","",IF(E282&gt;D282,"חריגת קיבולת",IF(E282=D282,"מלא","תקין")))</f>
      </c>
      <c r="I282" s="11"/>
      <c r="J282" s="11"/>
      <c r="K282" s="11"/>
      <c r="L282" s="11"/>
    </row>
    <row r="283" spans="1:12" x14ac:dyDescent="0.25">
      <c r="A283" s="11"/>
      <c r="B283" s="11"/>
      <c r="C283" s="11"/>
      <c r="D283" s="11"/>
      <c r="E283" s="3">
        <f>IF(A283="","",COUNTIF('02_Guest_Database'!F2:F999,A283))</f>
      </c>
      <c r="F283" s="3">
        <f>IF(A283="","",MAX(0,D283-E283))</f>
      </c>
      <c r="G283" s="3">
        <f>IF(A283="","",IFERROR(E283/D283,0))</f>
      </c>
      <c r="H283" s="3">
        <f>IF(A283="","",IF(E283&gt;D283,"חריגת קיבולת",IF(E283=D283,"מלא","תקין")))</f>
      </c>
      <c r="I283" s="11"/>
      <c r="J283" s="11"/>
      <c r="K283" s="11"/>
      <c r="L283" s="11"/>
    </row>
    <row r="284" spans="1:12" x14ac:dyDescent="0.25">
      <c r="A284" s="11"/>
      <c r="B284" s="11"/>
      <c r="C284" s="11"/>
      <c r="D284" s="11"/>
      <c r="E284" s="3">
        <f>IF(A284="","",COUNTIF('02_Guest_Database'!F2:F999,A284))</f>
      </c>
      <c r="F284" s="3">
        <f>IF(A284="","",MAX(0,D284-E284))</f>
      </c>
      <c r="G284" s="3">
        <f>IF(A284="","",IFERROR(E284/D284,0))</f>
      </c>
      <c r="H284" s="3">
        <f>IF(A284="","",IF(E284&gt;D284,"חריגת קיבולת",IF(E284=D284,"מלא","תקין")))</f>
      </c>
      <c r="I284" s="11"/>
      <c r="J284" s="11"/>
      <c r="K284" s="11"/>
      <c r="L284" s="11"/>
    </row>
    <row r="285" spans="1:12" x14ac:dyDescent="0.25">
      <c r="A285" s="11"/>
      <c r="B285" s="11"/>
      <c r="C285" s="11"/>
      <c r="D285" s="11"/>
      <c r="E285" s="3">
        <f>IF(A285="","",COUNTIF('02_Guest_Database'!F2:F999,A285))</f>
      </c>
      <c r="F285" s="3">
        <f>IF(A285="","",MAX(0,D285-E285))</f>
      </c>
      <c r="G285" s="3">
        <f>IF(A285="","",IFERROR(E285/D285,0))</f>
      </c>
      <c r="H285" s="3">
        <f>IF(A285="","",IF(E285&gt;D285,"חריגת קיבולת",IF(E285=D285,"מלא","תקין")))</f>
      </c>
      <c r="I285" s="11"/>
      <c r="J285" s="11"/>
      <c r="K285" s="11"/>
      <c r="L285" s="11"/>
    </row>
    <row r="286" spans="1:12" x14ac:dyDescent="0.25">
      <c r="A286" s="11"/>
      <c r="B286" s="11"/>
      <c r="C286" s="11"/>
      <c r="D286" s="11"/>
      <c r="E286" s="3">
        <f>IF(A286="","",COUNTIF('02_Guest_Database'!F2:F999,A286))</f>
      </c>
      <c r="F286" s="3">
        <f>IF(A286="","",MAX(0,D286-E286))</f>
      </c>
      <c r="G286" s="3">
        <f>IF(A286="","",IFERROR(E286/D286,0))</f>
      </c>
      <c r="H286" s="3">
        <f>IF(A286="","",IF(E286&gt;D286,"חריגת קיבולת",IF(E286=D286,"מלא","תקין")))</f>
      </c>
      <c r="I286" s="11"/>
      <c r="J286" s="11"/>
      <c r="K286" s="11"/>
      <c r="L286" s="11"/>
    </row>
    <row r="287" spans="1:12" x14ac:dyDescent="0.25">
      <c r="A287" s="11"/>
      <c r="B287" s="11"/>
      <c r="C287" s="11"/>
      <c r="D287" s="11"/>
      <c r="E287" s="3">
        <f>IF(A287="","",COUNTIF('02_Guest_Database'!F2:F999,A287))</f>
      </c>
      <c r="F287" s="3">
        <f>IF(A287="","",MAX(0,D287-E287))</f>
      </c>
      <c r="G287" s="3">
        <f>IF(A287="","",IFERROR(E287/D287,0))</f>
      </c>
      <c r="H287" s="3">
        <f>IF(A287="","",IF(E287&gt;D287,"חריגת קיבולת",IF(E287=D287,"מלא","תקין")))</f>
      </c>
      <c r="I287" s="11"/>
      <c r="J287" s="11"/>
      <c r="K287" s="11"/>
      <c r="L287" s="11"/>
    </row>
    <row r="288" spans="1:12" x14ac:dyDescent="0.25">
      <c r="A288" s="11"/>
      <c r="B288" s="11"/>
      <c r="C288" s="11"/>
      <c r="D288" s="11"/>
      <c r="E288" s="3">
        <f>IF(A288="","",COUNTIF('02_Guest_Database'!F2:F999,A288))</f>
      </c>
      <c r="F288" s="3">
        <f>IF(A288="","",MAX(0,D288-E288))</f>
      </c>
      <c r="G288" s="3">
        <f>IF(A288="","",IFERROR(E288/D288,0))</f>
      </c>
      <c r="H288" s="3">
        <f>IF(A288="","",IF(E288&gt;D288,"חריגת קיבולת",IF(E288=D288,"מלא","תקין")))</f>
      </c>
      <c r="I288" s="11"/>
      <c r="J288" s="11"/>
      <c r="K288" s="11"/>
      <c r="L288" s="11"/>
    </row>
    <row r="289" spans="1:12" x14ac:dyDescent="0.25">
      <c r="A289" s="11"/>
      <c r="B289" s="11"/>
      <c r="C289" s="11"/>
      <c r="D289" s="11"/>
      <c r="E289" s="3">
        <f>IF(A289="","",COUNTIF('02_Guest_Database'!F2:F999,A289))</f>
      </c>
      <c r="F289" s="3">
        <f>IF(A289="","",MAX(0,D289-E289))</f>
      </c>
      <c r="G289" s="3">
        <f>IF(A289="","",IFERROR(E289/D289,0))</f>
      </c>
      <c r="H289" s="3">
        <f>IF(A289="","",IF(E289&gt;D289,"חריגת קיבולת",IF(E289=D289,"מלא","תקין")))</f>
      </c>
      <c r="I289" s="11"/>
      <c r="J289" s="11"/>
      <c r="K289" s="11"/>
      <c r="L289" s="11"/>
    </row>
    <row r="290" spans="1:12" x14ac:dyDescent="0.25">
      <c r="A290" s="11"/>
      <c r="B290" s="11"/>
      <c r="C290" s="11"/>
      <c r="D290" s="11"/>
      <c r="E290" s="3">
        <f>IF(A290="","",COUNTIF('02_Guest_Database'!F2:F999,A290))</f>
      </c>
      <c r="F290" s="3">
        <f>IF(A290="","",MAX(0,D290-E290))</f>
      </c>
      <c r="G290" s="3">
        <f>IF(A290="","",IFERROR(E290/D290,0))</f>
      </c>
      <c r="H290" s="3">
        <f>IF(A290="","",IF(E290&gt;D290,"חריגת קיבולת",IF(E290=D290,"מלא","תקין")))</f>
      </c>
      <c r="I290" s="11"/>
      <c r="J290" s="11"/>
      <c r="K290" s="11"/>
      <c r="L290" s="11"/>
    </row>
    <row r="291" spans="1:12" x14ac:dyDescent="0.25">
      <c r="A291" s="11"/>
      <c r="B291" s="11"/>
      <c r="C291" s="11"/>
      <c r="D291" s="11"/>
      <c r="E291" s="3">
        <f>IF(A291="","",COUNTIF('02_Guest_Database'!F2:F999,A291))</f>
      </c>
      <c r="F291" s="3">
        <f>IF(A291="","",MAX(0,D291-E291))</f>
      </c>
      <c r="G291" s="3">
        <f>IF(A291="","",IFERROR(E291/D291,0))</f>
      </c>
      <c r="H291" s="3">
        <f>IF(A291="","",IF(E291&gt;D291,"חריגת קיבולת",IF(E291=D291,"מלא","תקין")))</f>
      </c>
      <c r="I291" s="11"/>
      <c r="J291" s="11"/>
      <c r="K291" s="11"/>
      <c r="L291" s="11"/>
    </row>
    <row r="292" spans="1:12" x14ac:dyDescent="0.25">
      <c r="A292" s="11"/>
      <c r="B292" s="11"/>
      <c r="C292" s="11"/>
      <c r="D292" s="11"/>
      <c r="E292" s="3">
        <f>IF(A292="","",COUNTIF('02_Guest_Database'!F2:F999,A292))</f>
      </c>
      <c r="F292" s="3">
        <f>IF(A292="","",MAX(0,D292-E292))</f>
      </c>
      <c r="G292" s="3">
        <f>IF(A292="","",IFERROR(E292/D292,0))</f>
      </c>
      <c r="H292" s="3">
        <f>IF(A292="","",IF(E292&gt;D292,"חריגת קיבולת",IF(E292=D292,"מלא","תקין")))</f>
      </c>
      <c r="I292" s="11"/>
      <c r="J292" s="11"/>
      <c r="K292" s="11"/>
      <c r="L292" s="11"/>
    </row>
    <row r="293" spans="1:12" x14ac:dyDescent="0.25">
      <c r="A293" s="11"/>
      <c r="B293" s="11"/>
      <c r="C293" s="11"/>
      <c r="D293" s="11"/>
      <c r="E293" s="3">
        <f>IF(A293="","",COUNTIF('02_Guest_Database'!F2:F999,A293))</f>
      </c>
      <c r="F293" s="3">
        <f>IF(A293="","",MAX(0,D293-E293))</f>
      </c>
      <c r="G293" s="3">
        <f>IF(A293="","",IFERROR(E293/D293,0))</f>
      </c>
      <c r="H293" s="3">
        <f>IF(A293="","",IF(E293&gt;D293,"חריגת קיבולת",IF(E293=D293,"מלא","תקין")))</f>
      </c>
      <c r="I293" s="11"/>
      <c r="J293" s="11"/>
      <c r="K293" s="11"/>
      <c r="L293" s="11"/>
    </row>
    <row r="294" spans="1:12" x14ac:dyDescent="0.25">
      <c r="A294" s="11"/>
      <c r="B294" s="11"/>
      <c r="C294" s="11"/>
      <c r="D294" s="11"/>
      <c r="E294" s="3">
        <f>IF(A294="","",COUNTIF('02_Guest_Database'!F2:F999,A294))</f>
      </c>
      <c r="F294" s="3">
        <f>IF(A294="","",MAX(0,D294-E294))</f>
      </c>
      <c r="G294" s="3">
        <f>IF(A294="","",IFERROR(E294/D294,0))</f>
      </c>
      <c r="H294" s="3">
        <f>IF(A294="","",IF(E294&gt;D294,"חריגת קיבולת",IF(E294=D294,"מלא","תקין")))</f>
      </c>
      <c r="I294" s="11"/>
      <c r="J294" s="11"/>
      <c r="K294" s="11"/>
      <c r="L294" s="11"/>
    </row>
    <row r="295" spans="1:12" x14ac:dyDescent="0.25">
      <c r="A295" s="11"/>
      <c r="B295" s="11"/>
      <c r="C295" s="11"/>
      <c r="D295" s="11"/>
      <c r="E295" s="3">
        <f>IF(A295="","",COUNTIF('02_Guest_Database'!F2:F999,A295))</f>
      </c>
      <c r="F295" s="3">
        <f>IF(A295="","",MAX(0,D295-E295))</f>
      </c>
      <c r="G295" s="3">
        <f>IF(A295="","",IFERROR(E295/D295,0))</f>
      </c>
      <c r="H295" s="3">
        <f>IF(A295="","",IF(E295&gt;D295,"חריגת קיבולת",IF(E295=D295,"מלא","תקין")))</f>
      </c>
      <c r="I295" s="11"/>
      <c r="J295" s="11"/>
      <c r="K295" s="11"/>
      <c r="L295" s="11"/>
    </row>
    <row r="296" spans="1:12" x14ac:dyDescent="0.25">
      <c r="A296" s="11"/>
      <c r="B296" s="11"/>
      <c r="C296" s="11"/>
      <c r="D296" s="11"/>
      <c r="E296" s="3">
        <f>IF(A296="","",COUNTIF('02_Guest_Database'!F2:F999,A296))</f>
      </c>
      <c r="F296" s="3">
        <f>IF(A296="","",MAX(0,D296-E296))</f>
      </c>
      <c r="G296" s="3">
        <f>IF(A296="","",IFERROR(E296/D296,0))</f>
      </c>
      <c r="H296" s="3">
        <f>IF(A296="","",IF(E296&gt;D296,"חריגת קיבולת",IF(E296=D296,"מלא","תקין")))</f>
      </c>
      <c r="I296" s="11"/>
      <c r="J296" s="11"/>
      <c r="K296" s="11"/>
      <c r="L296" s="11"/>
    </row>
    <row r="297" spans="1:12" x14ac:dyDescent="0.25">
      <c r="A297" s="11"/>
      <c r="B297" s="11"/>
      <c r="C297" s="11"/>
      <c r="D297" s="11"/>
      <c r="E297" s="3">
        <f>IF(A297="","",COUNTIF('02_Guest_Database'!F2:F999,A297))</f>
      </c>
      <c r="F297" s="3">
        <f>IF(A297="","",MAX(0,D297-E297))</f>
      </c>
      <c r="G297" s="3">
        <f>IF(A297="","",IFERROR(E297/D297,0))</f>
      </c>
      <c r="H297" s="3">
        <f>IF(A297="","",IF(E297&gt;D297,"חריגת קיבולת",IF(E297=D297,"מלא","תקין")))</f>
      </c>
      <c r="I297" s="11"/>
      <c r="J297" s="11"/>
      <c r="K297" s="11"/>
      <c r="L297" s="11"/>
    </row>
    <row r="298" spans="1:12" x14ac:dyDescent="0.25">
      <c r="A298" s="11"/>
      <c r="B298" s="11"/>
      <c r="C298" s="11"/>
      <c r="D298" s="11"/>
      <c r="E298" s="3">
        <f>IF(A298="","",COUNTIF('02_Guest_Database'!F2:F999,A298))</f>
      </c>
      <c r="F298" s="3">
        <f>IF(A298="","",MAX(0,D298-E298))</f>
      </c>
      <c r="G298" s="3">
        <f>IF(A298="","",IFERROR(E298/D298,0))</f>
      </c>
      <c r="H298" s="3">
        <f>IF(A298="","",IF(E298&gt;D298,"חריגת קיבולת",IF(E298=D298,"מלא","תקין")))</f>
      </c>
      <c r="I298" s="11"/>
      <c r="J298" s="11"/>
      <c r="K298" s="11"/>
      <c r="L298" s="11"/>
    </row>
    <row r="299" spans="1:12" x14ac:dyDescent="0.25">
      <c r="A299" s="11"/>
      <c r="B299" s="11"/>
      <c r="C299" s="11"/>
      <c r="D299" s="11"/>
      <c r="E299" s="3">
        <f>IF(A299="","",COUNTIF('02_Guest_Database'!F2:F999,A299))</f>
      </c>
      <c r="F299" s="3">
        <f>IF(A299="","",MAX(0,D299-E299))</f>
      </c>
      <c r="G299" s="3">
        <f>IF(A299="","",IFERROR(E299/D299,0))</f>
      </c>
      <c r="H299" s="3">
        <f>IF(A299="","",IF(E299&gt;D299,"חריגת קיבולת",IF(E299=D299,"מלא","תקין")))</f>
      </c>
      <c r="I299" s="11"/>
      <c r="J299" s="11"/>
      <c r="K299" s="11"/>
      <c r="L299" s="11"/>
    </row>
    <row r="300" spans="1:12" x14ac:dyDescent="0.25">
      <c r="A300" s="11"/>
      <c r="B300" s="11"/>
      <c r="C300" s="11"/>
      <c r="D300" s="11"/>
      <c r="E300" s="3">
        <f>IF(A300="","",COUNTIF('02_Guest_Database'!F2:F999,A300))</f>
      </c>
      <c r="F300" s="3">
        <f>IF(A300="","",MAX(0,D300-E300))</f>
      </c>
      <c r="G300" s="3">
        <f>IF(A300="","",IFERROR(E300/D300,0))</f>
      </c>
      <c r="H300" s="3">
        <f>IF(A300="","",IF(E300&gt;D300,"חריגת קיבולת",IF(E300=D300,"מלא","תקין")))</f>
      </c>
      <c r="I300" s="11"/>
      <c r="J300" s="11"/>
      <c r="K300" s="11"/>
      <c r="L300" s="11"/>
    </row>
    <row r="301" spans="1:12" x14ac:dyDescent="0.25">
      <c r="A301" s="11"/>
      <c r="B301" s="11"/>
      <c r="C301" s="11"/>
      <c r="D301" s="11"/>
      <c r="E301" s="3">
        <f>IF(A301="","",COUNTIF('02_Guest_Database'!F2:F999,A301))</f>
      </c>
      <c r="F301" s="3">
        <f>IF(A301="","",MAX(0,D301-E301))</f>
      </c>
      <c r="G301" s="3">
        <f>IF(A301="","",IFERROR(E301/D301,0))</f>
      </c>
      <c r="H301" s="3">
        <f>IF(A301="","",IF(E301&gt;D301,"חריגת קיבולת",IF(E301=D301,"מלא","תקין")))</f>
      </c>
      <c r="I301" s="11"/>
      <c r="J301" s="11"/>
      <c r="K301" s="11"/>
      <c r="L301" s="11"/>
    </row>
    <row r="302" spans="1:12" x14ac:dyDescent="0.25">
      <c r="A302" s="11"/>
      <c r="B302" s="11"/>
      <c r="C302" s="11"/>
      <c r="D302" s="11"/>
      <c r="E302" s="3">
        <f>IF(A302="","",COUNTIF('02_Guest_Database'!F2:F999,A302))</f>
      </c>
      <c r="F302" s="3">
        <f>IF(A302="","",MAX(0,D302-E302))</f>
      </c>
      <c r="G302" s="3">
        <f>IF(A302="","",IFERROR(E302/D302,0))</f>
      </c>
      <c r="H302" s="3">
        <f>IF(A302="","",IF(E302&gt;D302,"חריגת קיבולת",IF(E302=D302,"מלא","תקין")))</f>
      </c>
      <c r="I302" s="11"/>
      <c r="J302" s="11"/>
      <c r="K302" s="11"/>
      <c r="L302" s="11"/>
    </row>
    <row r="303" spans="1:12" x14ac:dyDescent="0.25">
      <c r="A303" s="11"/>
      <c r="B303" s="11"/>
      <c r="C303" s="11"/>
      <c r="D303" s="11"/>
      <c r="E303" s="3">
        <f>IF(A303="","",COUNTIF('02_Guest_Database'!F2:F999,A303))</f>
      </c>
      <c r="F303" s="3">
        <f>IF(A303="","",MAX(0,D303-E303))</f>
      </c>
      <c r="G303" s="3">
        <f>IF(A303="","",IFERROR(E303/D303,0))</f>
      </c>
      <c r="H303" s="3">
        <f>IF(A303="","",IF(E303&gt;D303,"חריגת קיבולת",IF(E303=D303,"מלא","תקין")))</f>
      </c>
      <c r="I303" s="11"/>
      <c r="J303" s="11"/>
      <c r="K303" s="11"/>
      <c r="L303" s="11"/>
    </row>
    <row r="304" spans="1:12" x14ac:dyDescent="0.25">
      <c r="A304" s="11"/>
      <c r="B304" s="11"/>
      <c r="C304" s="11"/>
      <c r="D304" s="11"/>
      <c r="E304" s="3">
        <f>IF(A304="","",COUNTIF('02_Guest_Database'!F2:F999,A304))</f>
      </c>
      <c r="F304" s="3">
        <f>IF(A304="","",MAX(0,D304-E304))</f>
      </c>
      <c r="G304" s="3">
        <f>IF(A304="","",IFERROR(E304/D304,0))</f>
      </c>
      <c r="H304" s="3">
        <f>IF(A304="","",IF(E304&gt;D304,"חריגת קיבולת",IF(E304=D304,"מלא","תקין")))</f>
      </c>
      <c r="I304" s="11"/>
      <c r="J304" s="11"/>
      <c r="K304" s="11"/>
      <c r="L304" s="11"/>
    </row>
    <row r="305" spans="1:12" x14ac:dyDescent="0.25">
      <c r="A305" s="11"/>
      <c r="B305" s="11"/>
      <c r="C305" s="11"/>
      <c r="D305" s="11"/>
      <c r="E305" s="3">
        <f>IF(A305="","",COUNTIF('02_Guest_Database'!F2:F999,A305))</f>
      </c>
      <c r="F305" s="3">
        <f>IF(A305="","",MAX(0,D305-E305))</f>
      </c>
      <c r="G305" s="3">
        <f>IF(A305="","",IFERROR(E305/D305,0))</f>
      </c>
      <c r="H305" s="3">
        <f>IF(A305="","",IF(E305&gt;D305,"חריגת קיבולת",IF(E305=D305,"מלא","תקין")))</f>
      </c>
      <c r="I305" s="11"/>
      <c r="J305" s="11"/>
      <c r="K305" s="11"/>
      <c r="L305" s="11"/>
    </row>
    <row r="306" spans="1:12" x14ac:dyDescent="0.25">
      <c r="A306" s="11"/>
      <c r="B306" s="11"/>
      <c r="C306" s="11"/>
      <c r="D306" s="11"/>
      <c r="E306" s="3">
        <f>IF(A306="","",COUNTIF('02_Guest_Database'!F2:F999,A306))</f>
      </c>
      <c r="F306" s="3">
        <f>IF(A306="","",MAX(0,D306-E306))</f>
      </c>
      <c r="G306" s="3">
        <f>IF(A306="","",IFERROR(E306/D306,0))</f>
      </c>
      <c r="H306" s="3">
        <f>IF(A306="","",IF(E306&gt;D306,"חריגת קיבולת",IF(E306=D306,"מלא","תקין")))</f>
      </c>
      <c r="I306" s="11"/>
      <c r="J306" s="11"/>
      <c r="K306" s="11"/>
      <c r="L306" s="11"/>
    </row>
    <row r="307" spans="1:12" x14ac:dyDescent="0.25">
      <c r="A307" s="11"/>
      <c r="B307" s="11"/>
      <c r="C307" s="11"/>
      <c r="D307" s="11"/>
      <c r="E307" s="3">
        <f>IF(A307="","",COUNTIF('02_Guest_Database'!F2:F999,A307))</f>
      </c>
      <c r="F307" s="3">
        <f>IF(A307="","",MAX(0,D307-E307))</f>
      </c>
      <c r="G307" s="3">
        <f>IF(A307="","",IFERROR(E307/D307,0))</f>
      </c>
      <c r="H307" s="3">
        <f>IF(A307="","",IF(E307&gt;D307,"חריגת קיבולת",IF(E307=D307,"מלא","תקין")))</f>
      </c>
      <c r="I307" s="11"/>
      <c r="J307" s="11"/>
      <c r="K307" s="11"/>
      <c r="L307" s="11"/>
    </row>
    <row r="308" spans="1:12" x14ac:dyDescent="0.25">
      <c r="A308" s="11"/>
      <c r="B308" s="11"/>
      <c r="C308" s="11"/>
      <c r="D308" s="11"/>
      <c r="E308" s="3">
        <f>IF(A308="","",COUNTIF('02_Guest_Database'!F2:F999,A308))</f>
      </c>
      <c r="F308" s="3">
        <f>IF(A308="","",MAX(0,D308-E308))</f>
      </c>
      <c r="G308" s="3">
        <f>IF(A308="","",IFERROR(E308/D308,0))</f>
      </c>
      <c r="H308" s="3">
        <f>IF(A308="","",IF(E308&gt;D308,"חריגת קיבולת",IF(E308=D308,"מלא","תקין")))</f>
      </c>
      <c r="I308" s="11"/>
      <c r="J308" s="11"/>
      <c r="K308" s="11"/>
      <c r="L308" s="11"/>
    </row>
    <row r="309" spans="1:12" x14ac:dyDescent="0.25">
      <c r="A309" s="11"/>
      <c r="B309" s="11"/>
      <c r="C309" s="11"/>
      <c r="D309" s="11"/>
      <c r="E309" s="3">
        <f>IF(A309="","",COUNTIF('02_Guest_Database'!F2:F999,A309))</f>
      </c>
      <c r="F309" s="3">
        <f>IF(A309="","",MAX(0,D309-E309))</f>
      </c>
      <c r="G309" s="3">
        <f>IF(A309="","",IFERROR(E309/D309,0))</f>
      </c>
      <c r="H309" s="3">
        <f>IF(A309="","",IF(E309&gt;D309,"חריגת קיבולת",IF(E309=D309,"מלא","תקין")))</f>
      </c>
      <c r="I309" s="11"/>
      <c r="J309" s="11"/>
      <c r="K309" s="11"/>
      <c r="L309" s="11"/>
    </row>
    <row r="310" spans="1:12" x14ac:dyDescent="0.25">
      <c r="A310" s="11"/>
      <c r="B310" s="11"/>
      <c r="C310" s="11"/>
      <c r="D310" s="11"/>
      <c r="E310" s="3">
        <f>IF(A310="","",COUNTIF('02_Guest_Database'!F2:F999,A310))</f>
      </c>
      <c r="F310" s="3">
        <f>IF(A310="","",MAX(0,D310-E310))</f>
      </c>
      <c r="G310" s="3">
        <f>IF(A310="","",IFERROR(E310/D310,0))</f>
      </c>
      <c r="H310" s="3">
        <f>IF(A310="","",IF(E310&gt;D310,"חריגת קיבולת",IF(E310=D310,"מלא","תקין")))</f>
      </c>
      <c r="I310" s="11"/>
      <c r="J310" s="11"/>
      <c r="K310" s="11"/>
      <c r="L310" s="11"/>
    </row>
    <row r="311" spans="1:12" x14ac:dyDescent="0.25">
      <c r="A311" s="11"/>
      <c r="B311" s="11"/>
      <c r="C311" s="11"/>
      <c r="D311" s="11"/>
      <c r="E311" s="3">
        <f>IF(A311="","",COUNTIF('02_Guest_Database'!F2:F999,A311))</f>
      </c>
      <c r="F311" s="3">
        <f>IF(A311="","",MAX(0,D311-E311))</f>
      </c>
      <c r="G311" s="3">
        <f>IF(A311="","",IFERROR(E311/D311,0))</f>
      </c>
      <c r="H311" s="3">
        <f>IF(A311="","",IF(E311&gt;D311,"חריגת קיבולת",IF(E311=D311,"מלא","תקין")))</f>
      </c>
      <c r="I311" s="11"/>
      <c r="J311" s="11"/>
      <c r="K311" s="11"/>
      <c r="L311" s="11"/>
    </row>
    <row r="312" spans="1:12" x14ac:dyDescent="0.25">
      <c r="A312" s="11"/>
      <c r="B312" s="11"/>
      <c r="C312" s="11"/>
      <c r="D312" s="11"/>
      <c r="E312" s="3">
        <f>IF(A312="","",COUNTIF('02_Guest_Database'!F2:F999,A312))</f>
      </c>
      <c r="F312" s="3">
        <f>IF(A312="","",MAX(0,D312-E312))</f>
      </c>
      <c r="G312" s="3">
        <f>IF(A312="","",IFERROR(E312/D312,0))</f>
      </c>
      <c r="H312" s="3">
        <f>IF(A312="","",IF(E312&gt;D312,"חריגת קיבולת",IF(E312=D312,"מלא","תקין")))</f>
      </c>
      <c r="I312" s="11"/>
      <c r="J312" s="11"/>
      <c r="K312" s="11"/>
      <c r="L312" s="11"/>
    </row>
    <row r="313" spans="1:12" x14ac:dyDescent="0.25">
      <c r="A313" s="11"/>
      <c r="B313" s="11"/>
      <c r="C313" s="11"/>
      <c r="D313" s="11"/>
      <c r="E313" s="3">
        <f>IF(A313="","",COUNTIF('02_Guest_Database'!F2:F999,A313))</f>
      </c>
      <c r="F313" s="3">
        <f>IF(A313="","",MAX(0,D313-E313))</f>
      </c>
      <c r="G313" s="3">
        <f>IF(A313="","",IFERROR(E313/D313,0))</f>
      </c>
      <c r="H313" s="3">
        <f>IF(A313="","",IF(E313&gt;D313,"חריגת קיבולת",IF(E313=D313,"מלא","תקין")))</f>
      </c>
      <c r="I313" s="11"/>
      <c r="J313" s="11"/>
      <c r="K313" s="11"/>
      <c r="L313" s="11"/>
    </row>
    <row r="314" spans="1:12" x14ac:dyDescent="0.25">
      <c r="A314" s="11"/>
      <c r="B314" s="11"/>
      <c r="C314" s="11"/>
      <c r="D314" s="11"/>
      <c r="E314" s="3">
        <f>IF(A314="","",COUNTIF('02_Guest_Database'!F2:F999,A314))</f>
      </c>
      <c r="F314" s="3">
        <f>IF(A314="","",MAX(0,D314-E314))</f>
      </c>
      <c r="G314" s="3">
        <f>IF(A314="","",IFERROR(E314/D314,0))</f>
      </c>
      <c r="H314" s="3">
        <f>IF(A314="","",IF(E314&gt;D314,"חריגת קיבולת",IF(E314=D314,"מלא","תקין")))</f>
      </c>
      <c r="I314" s="11"/>
      <c r="J314" s="11"/>
      <c r="K314" s="11"/>
      <c r="L314" s="11"/>
    </row>
    <row r="315" spans="1:12" x14ac:dyDescent="0.25">
      <c r="A315" s="11"/>
      <c r="B315" s="11"/>
      <c r="C315" s="11"/>
      <c r="D315" s="11"/>
      <c r="E315" s="3">
        <f>IF(A315="","",COUNTIF('02_Guest_Database'!F2:F999,A315))</f>
      </c>
      <c r="F315" s="3">
        <f>IF(A315="","",MAX(0,D315-E315))</f>
      </c>
      <c r="G315" s="3">
        <f>IF(A315="","",IFERROR(E315/D315,0))</f>
      </c>
      <c r="H315" s="3">
        <f>IF(A315="","",IF(E315&gt;D315,"חריגת קיבולת",IF(E315=D315,"מלא","תקין")))</f>
      </c>
      <c r="I315" s="11"/>
      <c r="J315" s="11"/>
      <c r="K315" s="11"/>
      <c r="L315" s="11"/>
    </row>
    <row r="316" spans="1:12" x14ac:dyDescent="0.25">
      <c r="A316" s="11"/>
      <c r="B316" s="11"/>
      <c r="C316" s="11"/>
      <c r="D316" s="11"/>
      <c r="E316" s="3">
        <f>IF(A316="","",COUNTIF('02_Guest_Database'!F2:F999,A316))</f>
      </c>
      <c r="F316" s="3">
        <f>IF(A316="","",MAX(0,D316-E316))</f>
      </c>
      <c r="G316" s="3">
        <f>IF(A316="","",IFERROR(E316/D316,0))</f>
      </c>
      <c r="H316" s="3">
        <f>IF(A316="","",IF(E316&gt;D316,"חריגת קיבולת",IF(E316=D316,"מלא","תקין")))</f>
      </c>
      <c r="I316" s="11"/>
      <c r="J316" s="11"/>
      <c r="K316" s="11"/>
      <c r="L316" s="11"/>
    </row>
    <row r="317" spans="1:12" x14ac:dyDescent="0.25">
      <c r="A317" s="11"/>
      <c r="B317" s="11"/>
      <c r="C317" s="11"/>
      <c r="D317" s="11"/>
      <c r="E317" s="3">
        <f>IF(A317="","",COUNTIF('02_Guest_Database'!F2:F999,A317))</f>
      </c>
      <c r="F317" s="3">
        <f>IF(A317="","",MAX(0,D317-E317))</f>
      </c>
      <c r="G317" s="3">
        <f>IF(A317="","",IFERROR(E317/D317,0))</f>
      </c>
      <c r="H317" s="3">
        <f>IF(A317="","",IF(E317&gt;D317,"חריגת קיבולת",IF(E317=D317,"מלא","תקין")))</f>
      </c>
      <c r="I317" s="11"/>
      <c r="J317" s="11"/>
      <c r="K317" s="11"/>
      <c r="L317" s="11"/>
    </row>
    <row r="318" spans="1:12" x14ac:dyDescent="0.25">
      <c r="A318" s="11"/>
      <c r="B318" s="11"/>
      <c r="C318" s="11"/>
      <c r="D318" s="11"/>
      <c r="E318" s="3">
        <f>IF(A318="","",COUNTIF('02_Guest_Database'!F2:F999,A318))</f>
      </c>
      <c r="F318" s="3">
        <f>IF(A318="","",MAX(0,D318-E318))</f>
      </c>
      <c r="G318" s="3">
        <f>IF(A318="","",IFERROR(E318/D318,0))</f>
      </c>
      <c r="H318" s="3">
        <f>IF(A318="","",IF(E318&gt;D318,"חריגת קיבולת",IF(E318=D318,"מלא","תקין")))</f>
      </c>
      <c r="I318" s="11"/>
      <c r="J318" s="11"/>
      <c r="K318" s="11"/>
      <c r="L318" s="11"/>
    </row>
    <row r="319" spans="1:12" x14ac:dyDescent="0.25">
      <c r="A319" s="11"/>
      <c r="B319" s="11"/>
      <c r="C319" s="11"/>
      <c r="D319" s="11"/>
      <c r="E319" s="3">
        <f>IF(A319="","",COUNTIF('02_Guest_Database'!F2:F999,A319))</f>
      </c>
      <c r="F319" s="3">
        <f>IF(A319="","",MAX(0,D319-E319))</f>
      </c>
      <c r="G319" s="3">
        <f>IF(A319="","",IFERROR(E319/D319,0))</f>
      </c>
      <c r="H319" s="3">
        <f>IF(A319="","",IF(E319&gt;D319,"חריגת קיבולת",IF(E319=D319,"מלא","תקין")))</f>
      </c>
      <c r="I319" s="11"/>
      <c r="J319" s="11"/>
      <c r="K319" s="11"/>
      <c r="L319" s="11"/>
    </row>
    <row r="320" spans="1:12" x14ac:dyDescent="0.25">
      <c r="A320" s="11"/>
      <c r="B320" s="11"/>
      <c r="C320" s="11"/>
      <c r="D320" s="11"/>
      <c r="E320" s="3">
        <f>IF(A320="","",COUNTIF('02_Guest_Database'!F2:F999,A320))</f>
      </c>
      <c r="F320" s="3">
        <f>IF(A320="","",MAX(0,D320-E320))</f>
      </c>
      <c r="G320" s="3">
        <f>IF(A320="","",IFERROR(E320/D320,0))</f>
      </c>
      <c r="H320" s="3">
        <f>IF(A320="","",IF(E320&gt;D320,"חריגת קיבולת",IF(E320=D320,"מלא","תקין")))</f>
      </c>
      <c r="I320" s="11"/>
      <c r="J320" s="11"/>
      <c r="K320" s="11"/>
      <c r="L320" s="11"/>
    </row>
    <row r="321" spans="1:12" x14ac:dyDescent="0.25">
      <c r="A321" s="11"/>
      <c r="B321" s="11"/>
      <c r="C321" s="11"/>
      <c r="D321" s="11"/>
      <c r="E321" s="3">
        <f>IF(A321="","",COUNTIF('02_Guest_Database'!F2:F999,A321))</f>
      </c>
      <c r="F321" s="3">
        <f>IF(A321="","",MAX(0,D321-E321))</f>
      </c>
      <c r="G321" s="3">
        <f>IF(A321="","",IFERROR(E321/D321,0))</f>
      </c>
      <c r="H321" s="3">
        <f>IF(A321="","",IF(E321&gt;D321,"חריגת קיבולת",IF(E321=D321,"מלא","תקין")))</f>
      </c>
      <c r="I321" s="11"/>
      <c r="J321" s="11"/>
      <c r="K321" s="11"/>
      <c r="L321" s="11"/>
    </row>
    <row r="322" spans="1:12" x14ac:dyDescent="0.25">
      <c r="A322" s="11"/>
      <c r="B322" s="11"/>
      <c r="C322" s="11"/>
      <c r="D322" s="11"/>
      <c r="E322" s="3">
        <f>IF(A322="","",COUNTIF('02_Guest_Database'!F2:F999,A322))</f>
      </c>
      <c r="F322" s="3">
        <f>IF(A322="","",MAX(0,D322-E322))</f>
      </c>
      <c r="G322" s="3">
        <f>IF(A322="","",IFERROR(E322/D322,0))</f>
      </c>
      <c r="H322" s="3">
        <f>IF(A322="","",IF(E322&gt;D322,"חריגת קיבולת",IF(E322=D322,"מלא","תקין")))</f>
      </c>
      <c r="I322" s="11"/>
      <c r="J322" s="11"/>
      <c r="K322" s="11"/>
      <c r="L322" s="11"/>
    </row>
    <row r="323" spans="1:12" x14ac:dyDescent="0.25">
      <c r="A323" s="11"/>
      <c r="B323" s="11"/>
      <c r="C323" s="11"/>
      <c r="D323" s="11"/>
      <c r="E323" s="3">
        <f>IF(A323="","",COUNTIF('02_Guest_Database'!F2:F999,A323))</f>
      </c>
      <c r="F323" s="3">
        <f>IF(A323="","",MAX(0,D323-E323))</f>
      </c>
      <c r="G323" s="3">
        <f>IF(A323="","",IFERROR(E323/D323,0))</f>
      </c>
      <c r="H323" s="3">
        <f>IF(A323="","",IF(E323&gt;D323,"חריגת קיבולת",IF(E323=D323,"מלא","תקין")))</f>
      </c>
      <c r="I323" s="11"/>
      <c r="J323" s="11"/>
      <c r="K323" s="11"/>
      <c r="L323" s="11"/>
    </row>
    <row r="324" spans="1:12" x14ac:dyDescent="0.25">
      <c r="A324" s="11"/>
      <c r="B324" s="11"/>
      <c r="C324" s="11"/>
      <c r="D324" s="11"/>
      <c r="E324" s="3">
        <f>IF(A324="","",COUNTIF('02_Guest_Database'!F2:F999,A324))</f>
      </c>
      <c r="F324" s="3">
        <f>IF(A324="","",MAX(0,D324-E324))</f>
      </c>
      <c r="G324" s="3">
        <f>IF(A324="","",IFERROR(E324/D324,0))</f>
      </c>
      <c r="H324" s="3">
        <f>IF(A324="","",IF(E324&gt;D324,"חריגת קיבולת",IF(E324=D324,"מלא","תקין")))</f>
      </c>
      <c r="I324" s="11"/>
      <c r="J324" s="11"/>
      <c r="K324" s="11"/>
      <c r="L324" s="11"/>
    </row>
    <row r="325" spans="1:12" x14ac:dyDescent="0.25">
      <c r="A325" s="11"/>
      <c r="B325" s="11"/>
      <c r="C325" s="11"/>
      <c r="D325" s="11"/>
      <c r="E325" s="3">
        <f>IF(A325="","",COUNTIF('02_Guest_Database'!F2:F999,A325))</f>
      </c>
      <c r="F325" s="3">
        <f>IF(A325="","",MAX(0,D325-E325))</f>
      </c>
      <c r="G325" s="3">
        <f>IF(A325="","",IFERROR(E325/D325,0))</f>
      </c>
      <c r="H325" s="3">
        <f>IF(A325="","",IF(E325&gt;D325,"חריגת קיבולת",IF(E325=D325,"מלא","תקין")))</f>
      </c>
      <c r="I325" s="11"/>
      <c r="J325" s="11"/>
      <c r="K325" s="11"/>
      <c r="L325" s="11"/>
    </row>
    <row r="326" spans="1:12" x14ac:dyDescent="0.25">
      <c r="A326" s="11"/>
      <c r="B326" s="11"/>
      <c r="C326" s="11"/>
      <c r="D326" s="11"/>
      <c r="E326" s="3">
        <f>IF(A326="","",COUNTIF('02_Guest_Database'!F2:F999,A326))</f>
      </c>
      <c r="F326" s="3">
        <f>IF(A326="","",MAX(0,D326-E326))</f>
      </c>
      <c r="G326" s="3">
        <f>IF(A326="","",IFERROR(E326/D326,0))</f>
      </c>
      <c r="H326" s="3">
        <f>IF(A326="","",IF(E326&gt;D326,"חריגת קיבולת",IF(E326=D326,"מלא","תקין")))</f>
      </c>
      <c r="I326" s="11"/>
      <c r="J326" s="11"/>
      <c r="K326" s="11"/>
      <c r="L326" s="11"/>
    </row>
    <row r="327" spans="1:12" x14ac:dyDescent="0.25">
      <c r="A327" s="11"/>
      <c r="B327" s="11"/>
      <c r="C327" s="11"/>
      <c r="D327" s="11"/>
      <c r="E327" s="3">
        <f>IF(A327="","",COUNTIF('02_Guest_Database'!F2:F999,A327))</f>
      </c>
      <c r="F327" s="3">
        <f>IF(A327="","",MAX(0,D327-E327))</f>
      </c>
      <c r="G327" s="3">
        <f>IF(A327="","",IFERROR(E327/D327,0))</f>
      </c>
      <c r="H327" s="3">
        <f>IF(A327="","",IF(E327&gt;D327,"חריגת קיבולת",IF(E327=D327,"מלא","תקין")))</f>
      </c>
      <c r="I327" s="11"/>
      <c r="J327" s="11"/>
      <c r="K327" s="11"/>
      <c r="L327" s="11"/>
    </row>
    <row r="328" spans="1:12" x14ac:dyDescent="0.25">
      <c r="A328" s="11"/>
      <c r="B328" s="11"/>
      <c r="C328" s="11"/>
      <c r="D328" s="11"/>
      <c r="E328" s="3">
        <f>IF(A328="","",COUNTIF('02_Guest_Database'!F2:F999,A328))</f>
      </c>
      <c r="F328" s="3">
        <f>IF(A328="","",MAX(0,D328-E328))</f>
      </c>
      <c r="G328" s="3">
        <f>IF(A328="","",IFERROR(E328/D328,0))</f>
      </c>
      <c r="H328" s="3">
        <f>IF(A328="","",IF(E328&gt;D328,"חריגת קיבולת",IF(E328=D328,"מלא","תקין")))</f>
      </c>
      <c r="I328" s="11"/>
      <c r="J328" s="11"/>
      <c r="K328" s="11"/>
      <c r="L328" s="11"/>
    </row>
    <row r="329" spans="1:12" x14ac:dyDescent="0.25">
      <c r="A329" s="11"/>
      <c r="B329" s="11"/>
      <c r="C329" s="11"/>
      <c r="D329" s="11"/>
      <c r="E329" s="3">
        <f>IF(A329="","",COUNTIF('02_Guest_Database'!F2:F999,A329))</f>
      </c>
      <c r="F329" s="3">
        <f>IF(A329="","",MAX(0,D329-E329))</f>
      </c>
      <c r="G329" s="3">
        <f>IF(A329="","",IFERROR(E329/D329,0))</f>
      </c>
      <c r="H329" s="3">
        <f>IF(A329="","",IF(E329&gt;D329,"חריגת קיבולת",IF(E329=D329,"מלא","תקין")))</f>
      </c>
      <c r="I329" s="11"/>
      <c r="J329" s="11"/>
      <c r="K329" s="11"/>
      <c r="L329" s="11"/>
    </row>
    <row r="330" spans="1:12" x14ac:dyDescent="0.25">
      <c r="A330" s="11"/>
      <c r="B330" s="11"/>
      <c r="C330" s="11"/>
      <c r="D330" s="11"/>
      <c r="E330" s="3">
        <f>IF(A330="","",COUNTIF('02_Guest_Database'!F2:F999,A330))</f>
      </c>
      <c r="F330" s="3">
        <f>IF(A330="","",MAX(0,D330-E330))</f>
      </c>
      <c r="G330" s="3">
        <f>IF(A330="","",IFERROR(E330/D330,0))</f>
      </c>
      <c r="H330" s="3">
        <f>IF(A330="","",IF(E330&gt;D330,"חריגת קיבולת",IF(E330=D330,"מלא","תקין")))</f>
      </c>
      <c r="I330" s="11"/>
      <c r="J330" s="11"/>
      <c r="K330" s="11"/>
      <c r="L330" s="11"/>
    </row>
    <row r="331" spans="1:12" x14ac:dyDescent="0.25">
      <c r="A331" s="11"/>
      <c r="B331" s="11"/>
      <c r="C331" s="11"/>
      <c r="D331" s="11"/>
      <c r="E331" s="3">
        <f>IF(A331="","",COUNTIF('02_Guest_Database'!F2:F999,A331))</f>
      </c>
      <c r="F331" s="3">
        <f>IF(A331="","",MAX(0,D331-E331))</f>
      </c>
      <c r="G331" s="3">
        <f>IF(A331="","",IFERROR(E331/D331,0))</f>
      </c>
      <c r="H331" s="3">
        <f>IF(A331="","",IF(E331&gt;D331,"חריגת קיבולת",IF(E331=D331,"מלא","תקין")))</f>
      </c>
      <c r="I331" s="11"/>
      <c r="J331" s="11"/>
      <c r="K331" s="11"/>
      <c r="L331" s="11"/>
    </row>
    <row r="332" spans="1:12" x14ac:dyDescent="0.25">
      <c r="A332" s="11"/>
      <c r="B332" s="11"/>
      <c r="C332" s="11"/>
      <c r="D332" s="11"/>
      <c r="E332" s="3">
        <f>IF(A332="","",COUNTIF('02_Guest_Database'!F2:F999,A332))</f>
      </c>
      <c r="F332" s="3">
        <f>IF(A332="","",MAX(0,D332-E332))</f>
      </c>
      <c r="G332" s="3">
        <f>IF(A332="","",IFERROR(E332/D332,0))</f>
      </c>
      <c r="H332" s="3">
        <f>IF(A332="","",IF(E332&gt;D332,"חריגת קיבולת",IF(E332=D332,"מלא","תקין")))</f>
      </c>
      <c r="I332" s="11"/>
      <c r="J332" s="11"/>
      <c r="K332" s="11"/>
      <c r="L332" s="11"/>
    </row>
    <row r="333" spans="1:12" x14ac:dyDescent="0.25">
      <c r="A333" s="11"/>
      <c r="B333" s="11"/>
      <c r="C333" s="11"/>
      <c r="D333" s="11"/>
      <c r="E333" s="3">
        <f>IF(A333="","",COUNTIF('02_Guest_Database'!F2:F999,A333))</f>
      </c>
      <c r="F333" s="3">
        <f>IF(A333="","",MAX(0,D333-E333))</f>
      </c>
      <c r="G333" s="3">
        <f>IF(A333="","",IFERROR(E333/D333,0))</f>
      </c>
      <c r="H333" s="3">
        <f>IF(A333="","",IF(E333&gt;D333,"חריגת קיבולת",IF(E333=D333,"מלא","תקין")))</f>
      </c>
      <c r="I333" s="11"/>
      <c r="J333" s="11"/>
      <c r="K333" s="11"/>
      <c r="L333" s="11"/>
    </row>
    <row r="334" spans="1:12" x14ac:dyDescent="0.25">
      <c r="A334" s="11"/>
      <c r="B334" s="11"/>
      <c r="C334" s="11"/>
      <c r="D334" s="11"/>
      <c r="E334" s="3">
        <f>IF(A334="","",COUNTIF('02_Guest_Database'!F2:F999,A334))</f>
      </c>
      <c r="F334" s="3">
        <f>IF(A334="","",MAX(0,D334-E334))</f>
      </c>
      <c r="G334" s="3">
        <f>IF(A334="","",IFERROR(E334/D334,0))</f>
      </c>
      <c r="H334" s="3">
        <f>IF(A334="","",IF(E334&gt;D334,"חריגת קיבולת",IF(E334=D334,"מלא","תקין")))</f>
      </c>
      <c r="I334" s="11"/>
      <c r="J334" s="11"/>
      <c r="K334" s="11"/>
      <c r="L334" s="11"/>
    </row>
    <row r="335" spans="1:12" x14ac:dyDescent="0.25">
      <c r="A335" s="11"/>
      <c r="B335" s="11"/>
      <c r="C335" s="11"/>
      <c r="D335" s="11"/>
      <c r="E335" s="3">
        <f>IF(A335="","",COUNTIF('02_Guest_Database'!F2:F999,A335))</f>
      </c>
      <c r="F335" s="3">
        <f>IF(A335="","",MAX(0,D335-E335))</f>
      </c>
      <c r="G335" s="3">
        <f>IF(A335="","",IFERROR(E335/D335,0))</f>
      </c>
      <c r="H335" s="3">
        <f>IF(A335="","",IF(E335&gt;D335,"חריגת קיבולת",IF(E335=D335,"מלא","תקין")))</f>
      </c>
      <c r="I335" s="11"/>
      <c r="J335" s="11"/>
      <c r="K335" s="11"/>
      <c r="L335" s="11"/>
    </row>
    <row r="336" spans="1:12" x14ac:dyDescent="0.25">
      <c r="A336" s="11"/>
      <c r="B336" s="11"/>
      <c r="C336" s="11"/>
      <c r="D336" s="11"/>
      <c r="E336" s="3">
        <f>IF(A336="","",COUNTIF('02_Guest_Database'!F2:F999,A336))</f>
      </c>
      <c r="F336" s="3">
        <f>IF(A336="","",MAX(0,D336-E336))</f>
      </c>
      <c r="G336" s="3">
        <f>IF(A336="","",IFERROR(E336/D336,0))</f>
      </c>
      <c r="H336" s="3">
        <f>IF(A336="","",IF(E336&gt;D336,"חריגת קיבולת",IF(E336=D336,"מלא","תקין")))</f>
      </c>
      <c r="I336" s="11"/>
      <c r="J336" s="11"/>
      <c r="K336" s="11"/>
      <c r="L336" s="11"/>
    </row>
    <row r="337" spans="1:12" x14ac:dyDescent="0.25">
      <c r="A337" s="11"/>
      <c r="B337" s="11"/>
      <c r="C337" s="11"/>
      <c r="D337" s="11"/>
      <c r="E337" s="3">
        <f>IF(A337="","",COUNTIF('02_Guest_Database'!F2:F999,A337))</f>
      </c>
      <c r="F337" s="3">
        <f>IF(A337="","",MAX(0,D337-E337))</f>
      </c>
      <c r="G337" s="3">
        <f>IF(A337="","",IFERROR(E337/D337,0))</f>
      </c>
      <c r="H337" s="3">
        <f>IF(A337="","",IF(E337&gt;D337,"חריגת קיבולת",IF(E337=D337,"מלא","תקין")))</f>
      </c>
      <c r="I337" s="11"/>
      <c r="J337" s="11"/>
      <c r="K337" s="11"/>
      <c r="L337" s="11"/>
    </row>
    <row r="338" spans="1:12" x14ac:dyDescent="0.25">
      <c r="A338" s="11"/>
      <c r="B338" s="11"/>
      <c r="C338" s="11"/>
      <c r="D338" s="11"/>
      <c r="E338" s="3">
        <f>IF(A338="","",COUNTIF('02_Guest_Database'!F2:F999,A338))</f>
      </c>
      <c r="F338" s="3">
        <f>IF(A338="","",MAX(0,D338-E338))</f>
      </c>
      <c r="G338" s="3">
        <f>IF(A338="","",IFERROR(E338/D338,0))</f>
      </c>
      <c r="H338" s="3">
        <f>IF(A338="","",IF(E338&gt;D338,"חריגת קיבולת",IF(E338=D338,"מלא","תקין")))</f>
      </c>
      <c r="I338" s="11"/>
      <c r="J338" s="11"/>
      <c r="K338" s="11"/>
      <c r="L338" s="11"/>
    </row>
    <row r="339" spans="1:12" x14ac:dyDescent="0.25">
      <c r="A339" s="11"/>
      <c r="B339" s="11"/>
      <c r="C339" s="11"/>
      <c r="D339" s="11"/>
      <c r="E339" s="3">
        <f>IF(A339="","",COUNTIF('02_Guest_Database'!F2:F999,A339))</f>
      </c>
      <c r="F339" s="3">
        <f>IF(A339="","",MAX(0,D339-E339))</f>
      </c>
      <c r="G339" s="3">
        <f>IF(A339="","",IFERROR(E339/D339,0))</f>
      </c>
      <c r="H339" s="3">
        <f>IF(A339="","",IF(E339&gt;D339,"חריגת קיבולת",IF(E339=D339,"מלא","תקין")))</f>
      </c>
      <c r="I339" s="11"/>
      <c r="J339" s="11"/>
      <c r="K339" s="11"/>
      <c r="L339" s="11"/>
    </row>
    <row r="340" spans="1:12" x14ac:dyDescent="0.25">
      <c r="A340" s="11"/>
      <c r="B340" s="11"/>
      <c r="C340" s="11"/>
      <c r="D340" s="11"/>
      <c r="E340" s="3">
        <f>IF(A340="","",COUNTIF('02_Guest_Database'!F2:F999,A340))</f>
      </c>
      <c r="F340" s="3">
        <f>IF(A340="","",MAX(0,D340-E340))</f>
      </c>
      <c r="G340" s="3">
        <f>IF(A340="","",IFERROR(E340/D340,0))</f>
      </c>
      <c r="H340" s="3">
        <f>IF(A340="","",IF(E340&gt;D340,"חריגת קיבולת",IF(E340=D340,"מלא","תקין")))</f>
      </c>
      <c r="I340" s="11"/>
      <c r="J340" s="11"/>
      <c r="K340" s="11"/>
      <c r="L340" s="11"/>
    </row>
    <row r="341" spans="1:12" x14ac:dyDescent="0.25">
      <c r="A341" s="11"/>
      <c r="B341" s="11"/>
      <c r="C341" s="11"/>
      <c r="D341" s="11"/>
      <c r="E341" s="3">
        <f>IF(A341="","",COUNTIF('02_Guest_Database'!F2:F999,A341))</f>
      </c>
      <c r="F341" s="3">
        <f>IF(A341="","",MAX(0,D341-E341))</f>
      </c>
      <c r="G341" s="3">
        <f>IF(A341="","",IFERROR(E341/D341,0))</f>
      </c>
      <c r="H341" s="3">
        <f>IF(A341="","",IF(E341&gt;D341,"חריגת קיבולת",IF(E341=D341,"מלא","תקין")))</f>
      </c>
      <c r="I341" s="11"/>
      <c r="J341" s="11"/>
      <c r="K341" s="11"/>
      <c r="L341" s="11"/>
    </row>
    <row r="342" spans="1:12" x14ac:dyDescent="0.25">
      <c r="A342" s="11"/>
      <c r="B342" s="11"/>
      <c r="C342" s="11"/>
      <c r="D342" s="11"/>
      <c r="E342" s="3">
        <f>IF(A342="","",COUNTIF('02_Guest_Database'!F2:F999,A342))</f>
      </c>
      <c r="F342" s="3">
        <f>IF(A342="","",MAX(0,D342-E342))</f>
      </c>
      <c r="G342" s="3">
        <f>IF(A342="","",IFERROR(E342/D342,0))</f>
      </c>
      <c r="H342" s="3">
        <f>IF(A342="","",IF(E342&gt;D342,"חריגת קיבולת",IF(E342=D342,"מלא","תקין")))</f>
      </c>
      <c r="I342" s="11"/>
      <c r="J342" s="11"/>
      <c r="K342" s="11"/>
      <c r="L342" s="11"/>
    </row>
    <row r="343" spans="1:12" x14ac:dyDescent="0.25">
      <c r="A343" s="11"/>
      <c r="B343" s="11"/>
      <c r="C343" s="11"/>
      <c r="D343" s="11"/>
      <c r="E343" s="3">
        <f>IF(A343="","",COUNTIF('02_Guest_Database'!F2:F999,A343))</f>
      </c>
      <c r="F343" s="3">
        <f>IF(A343="","",MAX(0,D343-E343))</f>
      </c>
      <c r="G343" s="3">
        <f>IF(A343="","",IFERROR(E343/D343,0))</f>
      </c>
      <c r="H343" s="3">
        <f>IF(A343="","",IF(E343&gt;D343,"חריגת קיבולת",IF(E343=D343,"מלא","תקין")))</f>
      </c>
      <c r="I343" s="11"/>
      <c r="J343" s="11"/>
      <c r="K343" s="11"/>
      <c r="L343" s="11"/>
    </row>
    <row r="344" spans="1:12" x14ac:dyDescent="0.25">
      <c r="A344" s="11"/>
      <c r="B344" s="11"/>
      <c r="C344" s="11"/>
      <c r="D344" s="11"/>
      <c r="E344" s="3">
        <f>IF(A344="","",COUNTIF('02_Guest_Database'!F2:F999,A344))</f>
      </c>
      <c r="F344" s="3">
        <f>IF(A344="","",MAX(0,D344-E344))</f>
      </c>
      <c r="G344" s="3">
        <f>IF(A344="","",IFERROR(E344/D344,0))</f>
      </c>
      <c r="H344" s="3">
        <f>IF(A344="","",IF(E344&gt;D344,"חריגת קיבולת",IF(E344=D344,"מלא","תקין")))</f>
      </c>
      <c r="I344" s="11"/>
      <c r="J344" s="11"/>
      <c r="K344" s="11"/>
      <c r="L344" s="11"/>
    </row>
    <row r="345" spans="1:12" x14ac:dyDescent="0.25">
      <c r="A345" s="11"/>
      <c r="B345" s="11"/>
      <c r="C345" s="11"/>
      <c r="D345" s="11"/>
      <c r="E345" s="3">
        <f>IF(A345="","",COUNTIF('02_Guest_Database'!F2:F999,A345))</f>
      </c>
      <c r="F345" s="3">
        <f>IF(A345="","",MAX(0,D345-E345))</f>
      </c>
      <c r="G345" s="3">
        <f>IF(A345="","",IFERROR(E345/D345,0))</f>
      </c>
      <c r="H345" s="3">
        <f>IF(A345="","",IF(E345&gt;D345,"חריגת קיבולת",IF(E345=D345,"מלא","תקין")))</f>
      </c>
      <c r="I345" s="11"/>
      <c r="J345" s="11"/>
      <c r="K345" s="11"/>
      <c r="L345" s="11"/>
    </row>
    <row r="346" spans="1:12" x14ac:dyDescent="0.25">
      <c r="A346" s="11"/>
      <c r="B346" s="11"/>
      <c r="C346" s="11"/>
      <c r="D346" s="11"/>
      <c r="E346" s="3">
        <f>IF(A346="","",COUNTIF('02_Guest_Database'!F2:F999,A346))</f>
      </c>
      <c r="F346" s="3">
        <f>IF(A346="","",MAX(0,D346-E346))</f>
      </c>
      <c r="G346" s="3">
        <f>IF(A346="","",IFERROR(E346/D346,0))</f>
      </c>
      <c r="H346" s="3">
        <f>IF(A346="","",IF(E346&gt;D346,"חריגת קיבולת",IF(E346=D346,"מלא","תקין")))</f>
      </c>
      <c r="I346" s="11"/>
      <c r="J346" s="11"/>
      <c r="K346" s="11"/>
      <c r="L346" s="11"/>
    </row>
    <row r="347" spans="1:12" x14ac:dyDescent="0.25">
      <c r="A347" s="11"/>
      <c r="B347" s="11"/>
      <c r="C347" s="11"/>
      <c r="D347" s="11"/>
      <c r="E347" s="3">
        <f>IF(A347="","",COUNTIF('02_Guest_Database'!F2:F999,A347))</f>
      </c>
      <c r="F347" s="3">
        <f>IF(A347="","",MAX(0,D347-E347))</f>
      </c>
      <c r="G347" s="3">
        <f>IF(A347="","",IFERROR(E347/D347,0))</f>
      </c>
      <c r="H347" s="3">
        <f>IF(A347="","",IF(E347&gt;D347,"חריגת קיבולת",IF(E347=D347,"מלא","תקין")))</f>
      </c>
      <c r="I347" s="11"/>
      <c r="J347" s="11"/>
      <c r="K347" s="11"/>
      <c r="L347" s="11"/>
    </row>
    <row r="348" spans="1:12" x14ac:dyDescent="0.25">
      <c r="A348" s="11"/>
      <c r="B348" s="11"/>
      <c r="C348" s="11"/>
      <c r="D348" s="11"/>
      <c r="E348" s="3">
        <f>IF(A348="","",COUNTIF('02_Guest_Database'!F2:F999,A348))</f>
      </c>
      <c r="F348" s="3">
        <f>IF(A348="","",MAX(0,D348-E348))</f>
      </c>
      <c r="G348" s="3">
        <f>IF(A348="","",IFERROR(E348/D348,0))</f>
      </c>
      <c r="H348" s="3">
        <f>IF(A348="","",IF(E348&gt;D348,"חריגת קיבולת",IF(E348=D348,"מלא","תקין")))</f>
      </c>
      <c r="I348" s="11"/>
      <c r="J348" s="11"/>
      <c r="K348" s="11"/>
      <c r="L348" s="11"/>
    </row>
    <row r="349" spans="1:12" x14ac:dyDescent="0.25">
      <c r="A349" s="11"/>
      <c r="B349" s="11"/>
      <c r="C349" s="11"/>
      <c r="D349" s="11"/>
      <c r="E349" s="3">
        <f>IF(A349="","",COUNTIF('02_Guest_Database'!F2:F999,A349))</f>
      </c>
      <c r="F349" s="3">
        <f>IF(A349="","",MAX(0,D349-E349))</f>
      </c>
      <c r="G349" s="3">
        <f>IF(A349="","",IFERROR(E349/D349,0))</f>
      </c>
      <c r="H349" s="3">
        <f>IF(A349="","",IF(E349&gt;D349,"חריגת קיבולת",IF(E349=D349,"מלא","תקין")))</f>
      </c>
      <c r="I349" s="11"/>
      <c r="J349" s="11"/>
      <c r="K349" s="11"/>
      <c r="L349" s="11"/>
    </row>
    <row r="350" spans="1:12" x14ac:dyDescent="0.25">
      <c r="A350" s="11"/>
      <c r="B350" s="11"/>
      <c r="C350" s="11"/>
      <c r="D350" s="11"/>
      <c r="E350" s="3">
        <f>IF(A350="","",COUNTIF('02_Guest_Database'!F2:F999,A350))</f>
      </c>
      <c r="F350" s="3">
        <f>IF(A350="","",MAX(0,D350-E350))</f>
      </c>
      <c r="G350" s="3">
        <f>IF(A350="","",IFERROR(E350/D350,0))</f>
      </c>
      <c r="H350" s="3">
        <f>IF(A350="","",IF(E350&gt;D350,"חריגת קיבולת",IF(E350=D350,"מלא","תקין")))</f>
      </c>
      <c r="I350" s="11"/>
      <c r="J350" s="11"/>
      <c r="K350" s="11"/>
      <c r="L350" s="11"/>
    </row>
    <row r="351" spans="1:12" x14ac:dyDescent="0.25">
      <c r="A351" s="11"/>
      <c r="B351" s="11"/>
      <c r="C351" s="11"/>
      <c r="D351" s="11"/>
      <c r="E351" s="3">
        <f>IF(A351="","",COUNTIF('02_Guest_Database'!F2:F999,A351))</f>
      </c>
      <c r="F351" s="3">
        <f>IF(A351="","",MAX(0,D351-E351))</f>
      </c>
      <c r="G351" s="3">
        <f>IF(A351="","",IFERROR(E351/D351,0))</f>
      </c>
      <c r="H351" s="3">
        <f>IF(A351="","",IF(E351&gt;D351,"חריגת קיבולת",IF(E351=D351,"מלא","תקין")))</f>
      </c>
      <c r="I351" s="11"/>
      <c r="J351" s="11"/>
      <c r="K351" s="11"/>
      <c r="L351" s="11"/>
    </row>
    <row r="352" spans="1:12" x14ac:dyDescent="0.25">
      <c r="A352" s="11"/>
      <c r="B352" s="11"/>
      <c r="C352" s="11"/>
      <c r="D352" s="11"/>
      <c r="E352" s="3">
        <f>IF(A352="","",COUNTIF('02_Guest_Database'!F2:F999,A352))</f>
      </c>
      <c r="F352" s="3">
        <f>IF(A352="","",MAX(0,D352-E352))</f>
      </c>
      <c r="G352" s="3">
        <f>IF(A352="","",IFERROR(E352/D352,0))</f>
      </c>
      <c r="H352" s="3">
        <f>IF(A352="","",IF(E352&gt;D352,"חריגת קיבולת",IF(E352=D352,"מלא","תקין")))</f>
      </c>
      <c r="I352" s="11"/>
      <c r="J352" s="11"/>
      <c r="K352" s="11"/>
      <c r="L352" s="11"/>
    </row>
    <row r="353" spans="1:12" x14ac:dyDescent="0.25">
      <c r="A353" s="11"/>
      <c r="B353" s="11"/>
      <c r="C353" s="11"/>
      <c r="D353" s="11"/>
      <c r="E353" s="3">
        <f>IF(A353="","",COUNTIF('02_Guest_Database'!F2:F999,A353))</f>
      </c>
      <c r="F353" s="3">
        <f>IF(A353="","",MAX(0,D353-E353))</f>
      </c>
      <c r="G353" s="3">
        <f>IF(A353="","",IFERROR(E353/D353,0))</f>
      </c>
      <c r="H353" s="3">
        <f>IF(A353="","",IF(E353&gt;D353,"חריגת קיבולת",IF(E353=D353,"מלא","תקין")))</f>
      </c>
      <c r="I353" s="11"/>
      <c r="J353" s="11"/>
      <c r="K353" s="11"/>
      <c r="L353" s="11"/>
    </row>
    <row r="354" spans="1:12" x14ac:dyDescent="0.25">
      <c r="A354" s="11"/>
      <c r="B354" s="11"/>
      <c r="C354" s="11"/>
      <c r="D354" s="11"/>
      <c r="E354" s="3">
        <f>IF(A354="","",COUNTIF('02_Guest_Database'!F2:F999,A354))</f>
      </c>
      <c r="F354" s="3">
        <f>IF(A354="","",MAX(0,D354-E354))</f>
      </c>
      <c r="G354" s="3">
        <f>IF(A354="","",IFERROR(E354/D354,0))</f>
      </c>
      <c r="H354" s="3">
        <f>IF(A354="","",IF(E354&gt;D354,"חריגת קיבולת",IF(E354=D354,"מלא","תקין")))</f>
      </c>
      <c r="I354" s="11"/>
      <c r="J354" s="11"/>
      <c r="K354" s="11"/>
      <c r="L354" s="11"/>
    </row>
    <row r="355" spans="1:12" x14ac:dyDescent="0.25">
      <c r="A355" s="11"/>
      <c r="B355" s="11"/>
      <c r="C355" s="11"/>
      <c r="D355" s="11"/>
      <c r="E355" s="3">
        <f>IF(A355="","",COUNTIF('02_Guest_Database'!F2:F999,A355))</f>
      </c>
      <c r="F355" s="3">
        <f>IF(A355="","",MAX(0,D355-E355))</f>
      </c>
      <c r="G355" s="3">
        <f>IF(A355="","",IFERROR(E355/D355,0))</f>
      </c>
      <c r="H355" s="3">
        <f>IF(A355="","",IF(E355&gt;D355,"חריגת קיבולת",IF(E355=D355,"מלא","תקין")))</f>
      </c>
      <c r="I355" s="11"/>
      <c r="J355" s="11"/>
      <c r="K355" s="11"/>
      <c r="L355" s="11"/>
    </row>
    <row r="356" spans="1:12" x14ac:dyDescent="0.25">
      <c r="A356" s="11"/>
      <c r="B356" s="11"/>
      <c r="C356" s="11"/>
      <c r="D356" s="11"/>
      <c r="E356" s="3">
        <f>IF(A356="","",COUNTIF('02_Guest_Database'!F2:F999,A356))</f>
      </c>
      <c r="F356" s="3">
        <f>IF(A356="","",MAX(0,D356-E356))</f>
      </c>
      <c r="G356" s="3">
        <f>IF(A356="","",IFERROR(E356/D356,0))</f>
      </c>
      <c r="H356" s="3">
        <f>IF(A356="","",IF(E356&gt;D356,"חריגת קיבולת",IF(E356=D356,"מלא","תקין")))</f>
      </c>
      <c r="I356" s="11"/>
      <c r="J356" s="11"/>
      <c r="K356" s="11"/>
      <c r="L356" s="11"/>
    </row>
    <row r="357" spans="1:12" x14ac:dyDescent="0.25">
      <c r="A357" s="11"/>
      <c r="B357" s="11"/>
      <c r="C357" s="11"/>
      <c r="D357" s="11"/>
      <c r="E357" s="3">
        <f>IF(A357="","",COUNTIF('02_Guest_Database'!F2:F999,A357))</f>
      </c>
      <c r="F357" s="3">
        <f>IF(A357="","",MAX(0,D357-E357))</f>
      </c>
      <c r="G357" s="3">
        <f>IF(A357="","",IFERROR(E357/D357,0))</f>
      </c>
      <c r="H357" s="3">
        <f>IF(A357="","",IF(E357&gt;D357,"חריגת קיבולת",IF(E357=D357,"מלא","תקין")))</f>
      </c>
      <c r="I357" s="11"/>
      <c r="J357" s="11"/>
      <c r="K357" s="11"/>
      <c r="L357" s="11"/>
    </row>
    <row r="358" spans="1:12" x14ac:dyDescent="0.25">
      <c r="A358" s="11"/>
      <c r="B358" s="11"/>
      <c r="C358" s="11"/>
      <c r="D358" s="11"/>
      <c r="E358" s="3">
        <f>IF(A358="","",COUNTIF('02_Guest_Database'!F2:F999,A358))</f>
      </c>
      <c r="F358" s="3">
        <f>IF(A358="","",MAX(0,D358-E358))</f>
      </c>
      <c r="G358" s="3">
        <f>IF(A358="","",IFERROR(E358/D358,0))</f>
      </c>
      <c r="H358" s="3">
        <f>IF(A358="","",IF(E358&gt;D358,"חריגת קיבולת",IF(E358=D358,"מלא","תקין")))</f>
      </c>
      <c r="I358" s="11"/>
      <c r="J358" s="11"/>
      <c r="K358" s="11"/>
      <c r="L358" s="11"/>
    </row>
    <row r="359" spans="1:12" x14ac:dyDescent="0.25">
      <c r="A359" s="11"/>
      <c r="B359" s="11"/>
      <c r="C359" s="11"/>
      <c r="D359" s="11"/>
      <c r="E359" s="3">
        <f>IF(A359="","",COUNTIF('02_Guest_Database'!F2:F999,A359))</f>
      </c>
      <c r="F359" s="3">
        <f>IF(A359="","",MAX(0,D359-E359))</f>
      </c>
      <c r="G359" s="3">
        <f>IF(A359="","",IFERROR(E359/D359,0))</f>
      </c>
      <c r="H359" s="3">
        <f>IF(A359="","",IF(E359&gt;D359,"חריגת קיבולת",IF(E359=D359,"מלא","תקין")))</f>
      </c>
      <c r="I359" s="11"/>
      <c r="J359" s="11"/>
      <c r="K359" s="11"/>
      <c r="L359" s="11"/>
    </row>
    <row r="360" spans="1:12" x14ac:dyDescent="0.25">
      <c r="A360" s="11"/>
      <c r="B360" s="11"/>
      <c r="C360" s="11"/>
      <c r="D360" s="11"/>
      <c r="E360" s="3">
        <f>IF(A360="","",COUNTIF('02_Guest_Database'!F2:F999,A360))</f>
      </c>
      <c r="F360" s="3">
        <f>IF(A360="","",MAX(0,D360-E360))</f>
      </c>
      <c r="G360" s="3">
        <f>IF(A360="","",IFERROR(E360/D360,0))</f>
      </c>
      <c r="H360" s="3">
        <f>IF(A360="","",IF(E360&gt;D360,"חריגת קיבולת",IF(E360=D360,"מלא","תקין")))</f>
      </c>
      <c r="I360" s="11"/>
      <c r="J360" s="11"/>
      <c r="K360" s="11"/>
      <c r="L360" s="11"/>
    </row>
    <row r="361" spans="1:12" x14ac:dyDescent="0.25">
      <c r="A361" s="11"/>
      <c r="B361" s="11"/>
      <c r="C361" s="11"/>
      <c r="D361" s="11"/>
      <c r="E361" s="3">
        <f>IF(A361="","",COUNTIF('02_Guest_Database'!F2:F999,A361))</f>
      </c>
      <c r="F361" s="3">
        <f>IF(A361="","",MAX(0,D361-E361))</f>
      </c>
      <c r="G361" s="3">
        <f>IF(A361="","",IFERROR(E361/D361,0))</f>
      </c>
      <c r="H361" s="3">
        <f>IF(A361="","",IF(E361&gt;D361,"חריגת קיבולת",IF(E361=D361,"מלא","תקין")))</f>
      </c>
      <c r="I361" s="11"/>
      <c r="J361" s="11"/>
      <c r="K361" s="11"/>
      <c r="L361" s="11"/>
    </row>
    <row r="362" spans="1:12" x14ac:dyDescent="0.25">
      <c r="A362" s="11"/>
      <c r="B362" s="11"/>
      <c r="C362" s="11"/>
      <c r="D362" s="11"/>
      <c r="E362" s="3">
        <f>IF(A362="","",COUNTIF('02_Guest_Database'!F2:F999,A362))</f>
      </c>
      <c r="F362" s="3">
        <f>IF(A362="","",MAX(0,D362-E362))</f>
      </c>
      <c r="G362" s="3">
        <f>IF(A362="","",IFERROR(E362/D362,0))</f>
      </c>
      <c r="H362" s="3">
        <f>IF(A362="","",IF(E362&gt;D362,"חריגת קיבולת",IF(E362=D362,"מלא","תקין")))</f>
      </c>
      <c r="I362" s="11"/>
      <c r="J362" s="11"/>
      <c r="K362" s="11"/>
      <c r="L362" s="11"/>
    </row>
    <row r="363" spans="1:12" x14ac:dyDescent="0.25">
      <c r="A363" s="11"/>
      <c r="B363" s="11"/>
      <c r="C363" s="11"/>
      <c r="D363" s="11"/>
      <c r="E363" s="3">
        <f>IF(A363="","",COUNTIF('02_Guest_Database'!F2:F999,A363))</f>
      </c>
      <c r="F363" s="3">
        <f>IF(A363="","",MAX(0,D363-E363))</f>
      </c>
      <c r="G363" s="3">
        <f>IF(A363="","",IFERROR(E363/D363,0))</f>
      </c>
      <c r="H363" s="3">
        <f>IF(A363="","",IF(E363&gt;D363,"חריגת קיבולת",IF(E363=D363,"מלא","תקין")))</f>
      </c>
      <c r="I363" s="11"/>
      <c r="J363" s="11"/>
      <c r="K363" s="11"/>
      <c r="L363" s="11"/>
    </row>
    <row r="364" spans="1:12" x14ac:dyDescent="0.25">
      <c r="A364" s="11"/>
      <c r="B364" s="11"/>
      <c r="C364" s="11"/>
      <c r="D364" s="11"/>
      <c r="E364" s="3">
        <f>IF(A364="","",COUNTIF('02_Guest_Database'!F2:F999,A364))</f>
      </c>
      <c r="F364" s="3">
        <f>IF(A364="","",MAX(0,D364-E364))</f>
      </c>
      <c r="G364" s="3">
        <f>IF(A364="","",IFERROR(E364/D364,0))</f>
      </c>
      <c r="H364" s="3">
        <f>IF(A364="","",IF(E364&gt;D364,"חריגת קיבולת",IF(E364=D364,"מלא","תקין")))</f>
      </c>
      <c r="I364" s="11"/>
      <c r="J364" s="11"/>
      <c r="K364" s="11"/>
      <c r="L364" s="11"/>
    </row>
    <row r="365" spans="1:12" x14ac:dyDescent="0.25">
      <c r="A365" s="11"/>
      <c r="B365" s="11"/>
      <c r="C365" s="11"/>
      <c r="D365" s="11"/>
      <c r="E365" s="3">
        <f>IF(A365="","",COUNTIF('02_Guest_Database'!F2:F999,A365))</f>
      </c>
      <c r="F365" s="3">
        <f>IF(A365="","",MAX(0,D365-E365))</f>
      </c>
      <c r="G365" s="3">
        <f>IF(A365="","",IFERROR(E365/D365,0))</f>
      </c>
      <c r="H365" s="3">
        <f>IF(A365="","",IF(E365&gt;D365,"חריגת קיבולת",IF(E365=D365,"מלא","תקין")))</f>
      </c>
      <c r="I365" s="11"/>
      <c r="J365" s="11"/>
      <c r="K365" s="11"/>
      <c r="L365" s="11"/>
    </row>
    <row r="366" spans="1:12" x14ac:dyDescent="0.25">
      <c r="A366" s="11"/>
      <c r="B366" s="11"/>
      <c r="C366" s="11"/>
      <c r="D366" s="11"/>
      <c r="E366" s="3">
        <f>IF(A366="","",COUNTIF('02_Guest_Database'!F2:F999,A366))</f>
      </c>
      <c r="F366" s="3">
        <f>IF(A366="","",MAX(0,D366-E366))</f>
      </c>
      <c r="G366" s="3">
        <f>IF(A366="","",IFERROR(E366/D366,0))</f>
      </c>
      <c r="H366" s="3">
        <f>IF(A366="","",IF(E366&gt;D366,"חריגת קיבולת",IF(E366=D366,"מלא","תקין")))</f>
      </c>
      <c r="I366" s="11"/>
      <c r="J366" s="11"/>
      <c r="K366" s="11"/>
      <c r="L366" s="11"/>
    </row>
    <row r="367" spans="1:12" x14ac:dyDescent="0.25">
      <c r="A367" s="11"/>
      <c r="B367" s="11"/>
      <c r="C367" s="11"/>
      <c r="D367" s="11"/>
      <c r="E367" s="3">
        <f>IF(A367="","",COUNTIF('02_Guest_Database'!F2:F999,A367))</f>
      </c>
      <c r="F367" s="3">
        <f>IF(A367="","",MAX(0,D367-E367))</f>
      </c>
      <c r="G367" s="3">
        <f>IF(A367="","",IFERROR(E367/D367,0))</f>
      </c>
      <c r="H367" s="3">
        <f>IF(A367="","",IF(E367&gt;D367,"חריגת קיבולת",IF(E367=D367,"מלא","תקין")))</f>
      </c>
      <c r="I367" s="11"/>
      <c r="J367" s="11"/>
      <c r="K367" s="11"/>
      <c r="L367" s="11"/>
    </row>
    <row r="368" spans="1:12" x14ac:dyDescent="0.25">
      <c r="A368" s="11"/>
      <c r="B368" s="11"/>
      <c r="C368" s="11"/>
      <c r="D368" s="11"/>
      <c r="E368" s="3">
        <f>IF(A368="","",COUNTIF('02_Guest_Database'!F2:F999,A368))</f>
      </c>
      <c r="F368" s="3">
        <f>IF(A368="","",MAX(0,D368-E368))</f>
      </c>
      <c r="G368" s="3">
        <f>IF(A368="","",IFERROR(E368/D368,0))</f>
      </c>
      <c r="H368" s="3">
        <f>IF(A368="","",IF(E368&gt;D368,"חריגת קיבולת",IF(E368=D368,"מלא","תקין")))</f>
      </c>
      <c r="I368" s="11"/>
      <c r="J368" s="11"/>
      <c r="K368" s="11"/>
      <c r="L368" s="11"/>
    </row>
    <row r="369" spans="1:12" x14ac:dyDescent="0.25">
      <c r="A369" s="11"/>
      <c r="B369" s="11"/>
      <c r="C369" s="11"/>
      <c r="D369" s="11"/>
      <c r="E369" s="3">
        <f>IF(A369="","",COUNTIF('02_Guest_Database'!F2:F999,A369))</f>
      </c>
      <c r="F369" s="3">
        <f>IF(A369="","",MAX(0,D369-E369))</f>
      </c>
      <c r="G369" s="3">
        <f>IF(A369="","",IFERROR(E369/D369,0))</f>
      </c>
      <c r="H369" s="3">
        <f>IF(A369="","",IF(E369&gt;D369,"חריגת קיבולת",IF(E369=D369,"מלא","תקין")))</f>
      </c>
      <c r="I369" s="11"/>
      <c r="J369" s="11"/>
      <c r="K369" s="11"/>
      <c r="L369" s="11"/>
    </row>
    <row r="370" spans="1:12" x14ac:dyDescent="0.25">
      <c r="A370" s="11"/>
      <c r="B370" s="11"/>
      <c r="C370" s="11"/>
      <c r="D370" s="11"/>
      <c r="E370" s="3">
        <f>IF(A370="","",COUNTIF('02_Guest_Database'!F2:F999,A370))</f>
      </c>
      <c r="F370" s="3">
        <f>IF(A370="","",MAX(0,D370-E370))</f>
      </c>
      <c r="G370" s="3">
        <f>IF(A370="","",IFERROR(E370/D370,0))</f>
      </c>
      <c r="H370" s="3">
        <f>IF(A370="","",IF(E370&gt;D370,"חריגת קיבולת",IF(E370=D370,"מלא","תקין")))</f>
      </c>
      <c r="I370" s="11"/>
      <c r="J370" s="11"/>
      <c r="K370" s="11"/>
      <c r="L370" s="11"/>
    </row>
    <row r="371" spans="1:12" x14ac:dyDescent="0.25">
      <c r="A371" s="11"/>
      <c r="B371" s="11"/>
      <c r="C371" s="11"/>
      <c r="D371" s="11"/>
      <c r="E371" s="3">
        <f>IF(A371="","",COUNTIF('02_Guest_Database'!F2:F999,A371))</f>
      </c>
      <c r="F371" s="3">
        <f>IF(A371="","",MAX(0,D371-E371))</f>
      </c>
      <c r="G371" s="3">
        <f>IF(A371="","",IFERROR(E371/D371,0))</f>
      </c>
      <c r="H371" s="3">
        <f>IF(A371="","",IF(E371&gt;D371,"חריגת קיבולת",IF(E371=D371,"מלא","תקין")))</f>
      </c>
      <c r="I371" s="11"/>
      <c r="J371" s="11"/>
      <c r="K371" s="11"/>
      <c r="L371" s="11"/>
    </row>
    <row r="372" spans="1:12" x14ac:dyDescent="0.25">
      <c r="A372" s="11"/>
      <c r="B372" s="11"/>
      <c r="C372" s="11"/>
      <c r="D372" s="11"/>
      <c r="E372" s="3">
        <f>IF(A372="","",COUNTIF('02_Guest_Database'!F2:F999,A372))</f>
      </c>
      <c r="F372" s="3">
        <f>IF(A372="","",MAX(0,D372-E372))</f>
      </c>
      <c r="G372" s="3">
        <f>IF(A372="","",IFERROR(E372/D372,0))</f>
      </c>
      <c r="H372" s="3">
        <f>IF(A372="","",IF(E372&gt;D372,"חריגת קיבולת",IF(E372=D372,"מלא","תקין")))</f>
      </c>
      <c r="I372" s="11"/>
      <c r="J372" s="11"/>
      <c r="K372" s="11"/>
      <c r="L372" s="11"/>
    </row>
    <row r="373" spans="1:12" x14ac:dyDescent="0.25">
      <c r="A373" s="11"/>
      <c r="B373" s="11"/>
      <c r="C373" s="11"/>
      <c r="D373" s="11"/>
      <c r="E373" s="3">
        <f>IF(A373="","",COUNTIF('02_Guest_Database'!F2:F999,A373))</f>
      </c>
      <c r="F373" s="3">
        <f>IF(A373="","",MAX(0,D373-E373))</f>
      </c>
      <c r="G373" s="3">
        <f>IF(A373="","",IFERROR(E373/D373,0))</f>
      </c>
      <c r="H373" s="3">
        <f>IF(A373="","",IF(E373&gt;D373,"חריגת קיבולת",IF(E373=D373,"מלא","תקין")))</f>
      </c>
      <c r="I373" s="11"/>
      <c r="J373" s="11"/>
      <c r="K373" s="11"/>
      <c r="L373" s="11"/>
    </row>
    <row r="374" spans="1:12" x14ac:dyDescent="0.25">
      <c r="A374" s="11"/>
      <c r="B374" s="11"/>
      <c r="C374" s="11"/>
      <c r="D374" s="11"/>
      <c r="E374" s="3">
        <f>IF(A374="","",COUNTIF('02_Guest_Database'!F2:F999,A374))</f>
      </c>
      <c r="F374" s="3">
        <f>IF(A374="","",MAX(0,D374-E374))</f>
      </c>
      <c r="G374" s="3">
        <f>IF(A374="","",IFERROR(E374/D374,0))</f>
      </c>
      <c r="H374" s="3">
        <f>IF(A374="","",IF(E374&gt;D374,"חריגת קיבולת",IF(E374=D374,"מלא","תקין")))</f>
      </c>
      <c r="I374" s="11"/>
      <c r="J374" s="11"/>
      <c r="K374" s="11"/>
      <c r="L374" s="11"/>
    </row>
    <row r="375" spans="1:12" x14ac:dyDescent="0.25">
      <c r="A375" s="11"/>
      <c r="B375" s="11"/>
      <c r="C375" s="11"/>
      <c r="D375" s="11"/>
      <c r="E375" s="3">
        <f>IF(A375="","",COUNTIF('02_Guest_Database'!F2:F999,A375))</f>
      </c>
      <c r="F375" s="3">
        <f>IF(A375="","",MAX(0,D375-E375))</f>
      </c>
      <c r="G375" s="3">
        <f>IF(A375="","",IFERROR(E375/D375,0))</f>
      </c>
      <c r="H375" s="3">
        <f>IF(A375="","",IF(E375&gt;D375,"חריגת קיבולת",IF(E375=D375,"מלא","תקין")))</f>
      </c>
      <c r="I375" s="11"/>
      <c r="J375" s="11"/>
      <c r="K375" s="11"/>
      <c r="L375" s="11"/>
    </row>
    <row r="376" spans="1:12" x14ac:dyDescent="0.25">
      <c r="A376" s="11"/>
      <c r="B376" s="11"/>
      <c r="C376" s="11"/>
      <c r="D376" s="11"/>
      <c r="E376" s="3">
        <f>IF(A376="","",COUNTIF('02_Guest_Database'!F2:F999,A376))</f>
      </c>
      <c r="F376" s="3">
        <f>IF(A376="","",MAX(0,D376-E376))</f>
      </c>
      <c r="G376" s="3">
        <f>IF(A376="","",IFERROR(E376/D376,0))</f>
      </c>
      <c r="H376" s="3">
        <f>IF(A376="","",IF(E376&gt;D376,"חריגת קיבולת",IF(E376=D376,"מלא","תקין")))</f>
      </c>
      <c r="I376" s="11"/>
      <c r="J376" s="11"/>
      <c r="K376" s="11"/>
      <c r="L376" s="11"/>
    </row>
    <row r="377" spans="1:12" x14ac:dyDescent="0.25">
      <c r="A377" s="11"/>
      <c r="B377" s="11"/>
      <c r="C377" s="11"/>
      <c r="D377" s="11"/>
      <c r="E377" s="3">
        <f>IF(A377="","",COUNTIF('02_Guest_Database'!F2:F999,A377))</f>
      </c>
      <c r="F377" s="3">
        <f>IF(A377="","",MAX(0,D377-E377))</f>
      </c>
      <c r="G377" s="3">
        <f>IF(A377="","",IFERROR(E377/D377,0))</f>
      </c>
      <c r="H377" s="3">
        <f>IF(A377="","",IF(E377&gt;D377,"חריגת קיבולת",IF(E377=D377,"מלא","תקין")))</f>
      </c>
      <c r="I377" s="11"/>
      <c r="J377" s="11"/>
      <c r="K377" s="11"/>
      <c r="L377" s="11"/>
    </row>
    <row r="378" spans="1:12" x14ac:dyDescent="0.25">
      <c r="A378" s="11"/>
      <c r="B378" s="11"/>
      <c r="C378" s="11"/>
      <c r="D378" s="11"/>
      <c r="E378" s="3">
        <f>IF(A378="","",COUNTIF('02_Guest_Database'!F2:F999,A378))</f>
      </c>
      <c r="F378" s="3">
        <f>IF(A378="","",MAX(0,D378-E378))</f>
      </c>
      <c r="G378" s="3">
        <f>IF(A378="","",IFERROR(E378/D378,0))</f>
      </c>
      <c r="H378" s="3">
        <f>IF(A378="","",IF(E378&gt;D378,"חריגת קיבולת",IF(E378=D378,"מלא","תקין")))</f>
      </c>
      <c r="I378" s="11"/>
      <c r="J378" s="11"/>
      <c r="K378" s="11"/>
      <c r="L378" s="11"/>
    </row>
    <row r="379" spans="1:12" x14ac:dyDescent="0.25">
      <c r="A379" s="11"/>
      <c r="B379" s="11"/>
      <c r="C379" s="11"/>
      <c r="D379" s="11"/>
      <c r="E379" s="3">
        <f>IF(A379="","",COUNTIF('02_Guest_Database'!F2:F999,A379))</f>
      </c>
      <c r="F379" s="3">
        <f>IF(A379="","",MAX(0,D379-E379))</f>
      </c>
      <c r="G379" s="3">
        <f>IF(A379="","",IFERROR(E379/D379,0))</f>
      </c>
      <c r="H379" s="3">
        <f>IF(A379="","",IF(E379&gt;D379,"חריגת קיבולת",IF(E379=D379,"מלא","תקין")))</f>
      </c>
      <c r="I379" s="11"/>
      <c r="J379" s="11"/>
      <c r="K379" s="11"/>
      <c r="L379" s="11"/>
    </row>
    <row r="380" spans="1:12" x14ac:dyDescent="0.25">
      <c r="A380" s="11"/>
      <c r="B380" s="11"/>
      <c r="C380" s="11"/>
      <c r="D380" s="11"/>
      <c r="E380" s="3">
        <f>IF(A380="","",COUNTIF('02_Guest_Database'!F2:F999,A380))</f>
      </c>
      <c r="F380" s="3">
        <f>IF(A380="","",MAX(0,D380-E380))</f>
      </c>
      <c r="G380" s="3">
        <f>IF(A380="","",IFERROR(E380/D380,0))</f>
      </c>
      <c r="H380" s="3">
        <f>IF(A380="","",IF(E380&gt;D380,"חריגת קיבולת",IF(E380=D380,"מלא","תקין")))</f>
      </c>
      <c r="I380" s="11"/>
      <c r="J380" s="11"/>
      <c r="K380" s="11"/>
      <c r="L380" s="11"/>
    </row>
    <row r="381" spans="1:12" x14ac:dyDescent="0.25">
      <c r="A381" s="11"/>
      <c r="B381" s="11"/>
      <c r="C381" s="11"/>
      <c r="D381" s="11"/>
      <c r="E381" s="3">
        <f>IF(A381="","",COUNTIF('02_Guest_Database'!F2:F999,A381))</f>
      </c>
      <c r="F381" s="3">
        <f>IF(A381="","",MAX(0,D381-E381))</f>
      </c>
      <c r="G381" s="3">
        <f>IF(A381="","",IFERROR(E381/D381,0))</f>
      </c>
      <c r="H381" s="3">
        <f>IF(A381="","",IF(E381&gt;D381,"חריגת קיבולת",IF(E381=D381,"מלא","תקין")))</f>
      </c>
      <c r="I381" s="11"/>
      <c r="J381" s="11"/>
      <c r="K381" s="11"/>
      <c r="L381" s="11"/>
    </row>
    <row r="382" spans="1:12" x14ac:dyDescent="0.25">
      <c r="A382" s="11"/>
      <c r="B382" s="11"/>
      <c r="C382" s="11"/>
      <c r="D382" s="11"/>
      <c r="E382" s="3">
        <f>IF(A382="","",COUNTIF('02_Guest_Database'!F2:F999,A382))</f>
      </c>
      <c r="F382" s="3">
        <f>IF(A382="","",MAX(0,D382-E382))</f>
      </c>
      <c r="G382" s="3">
        <f>IF(A382="","",IFERROR(E382/D382,0))</f>
      </c>
      <c r="H382" s="3">
        <f>IF(A382="","",IF(E382&gt;D382,"חריגת קיבולת",IF(E382=D382,"מלא","תקין")))</f>
      </c>
      <c r="I382" s="11"/>
      <c r="J382" s="11"/>
      <c r="K382" s="11"/>
      <c r="L382" s="11"/>
    </row>
    <row r="383" spans="1:12" x14ac:dyDescent="0.25">
      <c r="A383" s="11"/>
      <c r="B383" s="11"/>
      <c r="C383" s="11"/>
      <c r="D383" s="11"/>
      <c r="E383" s="3">
        <f>IF(A383="","",COUNTIF('02_Guest_Database'!F2:F999,A383))</f>
      </c>
      <c r="F383" s="3">
        <f>IF(A383="","",MAX(0,D383-E383))</f>
      </c>
      <c r="G383" s="3">
        <f>IF(A383="","",IFERROR(E383/D383,0))</f>
      </c>
      <c r="H383" s="3">
        <f>IF(A383="","",IF(E383&gt;D383,"חריגת קיבולת",IF(E383=D383,"מלא","תקין")))</f>
      </c>
      <c r="I383" s="11"/>
      <c r="J383" s="11"/>
      <c r="K383" s="11"/>
      <c r="L383" s="11"/>
    </row>
    <row r="384" spans="1:12" x14ac:dyDescent="0.25">
      <c r="A384" s="11"/>
      <c r="B384" s="11"/>
      <c r="C384" s="11"/>
      <c r="D384" s="11"/>
      <c r="E384" s="3">
        <f>IF(A384="","",COUNTIF('02_Guest_Database'!F2:F999,A384))</f>
      </c>
      <c r="F384" s="3">
        <f>IF(A384="","",MAX(0,D384-E384))</f>
      </c>
      <c r="G384" s="3">
        <f>IF(A384="","",IFERROR(E384/D384,0))</f>
      </c>
      <c r="H384" s="3">
        <f>IF(A384="","",IF(E384&gt;D384,"חריגת קיבולת",IF(E384=D384,"מלא","תקין")))</f>
      </c>
      <c r="I384" s="11"/>
      <c r="J384" s="11"/>
      <c r="K384" s="11"/>
      <c r="L384" s="11"/>
    </row>
    <row r="385" spans="1:12" x14ac:dyDescent="0.25">
      <c r="A385" s="11"/>
      <c r="B385" s="11"/>
      <c r="C385" s="11"/>
      <c r="D385" s="11"/>
      <c r="E385" s="3">
        <f>IF(A385="","",COUNTIF('02_Guest_Database'!F2:F999,A385))</f>
      </c>
      <c r="F385" s="3">
        <f>IF(A385="","",MAX(0,D385-E385))</f>
      </c>
      <c r="G385" s="3">
        <f>IF(A385="","",IFERROR(E385/D385,0))</f>
      </c>
      <c r="H385" s="3">
        <f>IF(A385="","",IF(E385&gt;D385,"חריגת קיבולת",IF(E385=D385,"מלא","תקין")))</f>
      </c>
      <c r="I385" s="11"/>
      <c r="J385" s="11"/>
      <c r="K385" s="11"/>
      <c r="L385" s="11"/>
    </row>
    <row r="386" spans="1:12" x14ac:dyDescent="0.25">
      <c r="A386" s="11"/>
      <c r="B386" s="11"/>
      <c r="C386" s="11"/>
      <c r="D386" s="11"/>
      <c r="E386" s="3">
        <f>IF(A386="","",COUNTIF('02_Guest_Database'!F2:F999,A386))</f>
      </c>
      <c r="F386" s="3">
        <f>IF(A386="","",MAX(0,D386-E386))</f>
      </c>
      <c r="G386" s="3">
        <f>IF(A386="","",IFERROR(E386/D386,0))</f>
      </c>
      <c r="H386" s="3">
        <f>IF(A386="","",IF(E386&gt;D386,"חריגת קיבולת",IF(E386=D386,"מלא","תקין")))</f>
      </c>
      <c r="I386" s="11"/>
      <c r="J386" s="11"/>
      <c r="K386" s="11"/>
      <c r="L386" s="11"/>
    </row>
    <row r="387" spans="1:12" x14ac:dyDescent="0.25">
      <c r="A387" s="11"/>
      <c r="B387" s="11"/>
      <c r="C387" s="11"/>
      <c r="D387" s="11"/>
      <c r="E387" s="3">
        <f>IF(A387="","",COUNTIF('02_Guest_Database'!F2:F999,A387))</f>
      </c>
      <c r="F387" s="3">
        <f>IF(A387="","",MAX(0,D387-E387))</f>
      </c>
      <c r="G387" s="3">
        <f>IF(A387="","",IFERROR(E387/D387,0))</f>
      </c>
      <c r="H387" s="3">
        <f>IF(A387="","",IF(E387&gt;D387,"חריגת קיבולת",IF(E387=D387,"מלא","תקין")))</f>
      </c>
      <c r="I387" s="11"/>
      <c r="J387" s="11"/>
      <c r="K387" s="11"/>
      <c r="L387" s="11"/>
    </row>
    <row r="388" spans="1:12" x14ac:dyDescent="0.25">
      <c r="A388" s="11"/>
      <c r="B388" s="11"/>
      <c r="C388" s="11"/>
      <c r="D388" s="11"/>
      <c r="E388" s="3">
        <f>IF(A388="","",COUNTIF('02_Guest_Database'!F2:F999,A388))</f>
      </c>
      <c r="F388" s="3">
        <f>IF(A388="","",MAX(0,D388-E388))</f>
      </c>
      <c r="G388" s="3">
        <f>IF(A388="","",IFERROR(E388/D388,0))</f>
      </c>
      <c r="H388" s="3">
        <f>IF(A388="","",IF(E388&gt;D388,"חריגת קיבולת",IF(E388=D388,"מלא","תקין")))</f>
      </c>
      <c r="I388" s="11"/>
      <c r="J388" s="11"/>
      <c r="K388" s="11"/>
      <c r="L388" s="11"/>
    </row>
    <row r="389" spans="1:12" x14ac:dyDescent="0.25">
      <c r="A389" s="11"/>
      <c r="B389" s="11"/>
      <c r="C389" s="11"/>
      <c r="D389" s="11"/>
      <c r="E389" s="3">
        <f>IF(A389="","",COUNTIF('02_Guest_Database'!F2:F999,A389))</f>
      </c>
      <c r="F389" s="3">
        <f>IF(A389="","",MAX(0,D389-E389))</f>
      </c>
      <c r="G389" s="3">
        <f>IF(A389="","",IFERROR(E389/D389,0))</f>
      </c>
      <c r="H389" s="3">
        <f>IF(A389="","",IF(E389&gt;D389,"חריגת קיבולת",IF(E389=D389,"מלא","תקין")))</f>
      </c>
      <c r="I389" s="11"/>
      <c r="J389" s="11"/>
      <c r="K389" s="11"/>
      <c r="L389" s="11"/>
    </row>
    <row r="390" spans="1:12" x14ac:dyDescent="0.25">
      <c r="A390" s="11"/>
      <c r="B390" s="11"/>
      <c r="C390" s="11"/>
      <c r="D390" s="11"/>
      <c r="E390" s="3">
        <f>IF(A390="","",COUNTIF('02_Guest_Database'!F2:F999,A390))</f>
      </c>
      <c r="F390" s="3">
        <f>IF(A390="","",MAX(0,D390-E390))</f>
      </c>
      <c r="G390" s="3">
        <f>IF(A390="","",IFERROR(E390/D390,0))</f>
      </c>
      <c r="H390" s="3">
        <f>IF(A390="","",IF(E390&gt;D390,"חריגת קיבולת",IF(E390=D390,"מלא","תקין")))</f>
      </c>
      <c r="I390" s="11"/>
      <c r="J390" s="11"/>
      <c r="K390" s="11"/>
      <c r="L390" s="11"/>
    </row>
    <row r="391" spans="1:12" x14ac:dyDescent="0.25">
      <c r="A391" s="11"/>
      <c r="B391" s="11"/>
      <c r="C391" s="11"/>
      <c r="D391" s="11"/>
      <c r="E391" s="3">
        <f>IF(A391="","",COUNTIF('02_Guest_Database'!F2:F999,A391))</f>
      </c>
      <c r="F391" s="3">
        <f>IF(A391="","",MAX(0,D391-E391))</f>
      </c>
      <c r="G391" s="3">
        <f>IF(A391="","",IFERROR(E391/D391,0))</f>
      </c>
      <c r="H391" s="3">
        <f>IF(A391="","",IF(E391&gt;D391,"חריגת קיבולת",IF(E391=D391,"מלא","תקין")))</f>
      </c>
      <c r="I391" s="11"/>
      <c r="J391" s="11"/>
      <c r="K391" s="11"/>
      <c r="L391" s="11"/>
    </row>
    <row r="392" spans="1:12" x14ac:dyDescent="0.25">
      <c r="A392" s="11"/>
      <c r="B392" s="11"/>
      <c r="C392" s="11"/>
      <c r="D392" s="11"/>
      <c r="E392" s="3">
        <f>IF(A392="","",COUNTIF('02_Guest_Database'!F2:F999,A392))</f>
      </c>
      <c r="F392" s="3">
        <f>IF(A392="","",MAX(0,D392-E392))</f>
      </c>
      <c r="G392" s="3">
        <f>IF(A392="","",IFERROR(E392/D392,0))</f>
      </c>
      <c r="H392" s="3">
        <f>IF(A392="","",IF(E392&gt;D392,"חריגת קיבולת",IF(E392=D392,"מלא","תקין")))</f>
      </c>
      <c r="I392" s="11"/>
      <c r="J392" s="11"/>
      <c r="K392" s="11"/>
      <c r="L392" s="11"/>
    </row>
    <row r="393" spans="1:12" x14ac:dyDescent="0.25">
      <c r="A393" s="11"/>
      <c r="B393" s="11"/>
      <c r="C393" s="11"/>
      <c r="D393" s="11"/>
      <c r="E393" s="3">
        <f>IF(A393="","",COUNTIF('02_Guest_Database'!F2:F999,A393))</f>
      </c>
      <c r="F393" s="3">
        <f>IF(A393="","",MAX(0,D393-E393))</f>
      </c>
      <c r="G393" s="3">
        <f>IF(A393="","",IFERROR(E393/D393,0))</f>
      </c>
      <c r="H393" s="3">
        <f>IF(A393="","",IF(E393&gt;D393,"חריגת קיבולת",IF(E393=D393,"מלא","תקין")))</f>
      </c>
      <c r="I393" s="11"/>
      <c r="J393" s="11"/>
      <c r="K393" s="11"/>
      <c r="L393" s="11"/>
    </row>
    <row r="394" spans="1:12" x14ac:dyDescent="0.25">
      <c r="A394" s="11"/>
      <c r="B394" s="11"/>
      <c r="C394" s="11"/>
      <c r="D394" s="11"/>
      <c r="E394" s="3">
        <f>IF(A394="","",COUNTIF('02_Guest_Database'!F2:F999,A394))</f>
      </c>
      <c r="F394" s="3">
        <f>IF(A394="","",MAX(0,D394-E394))</f>
      </c>
      <c r="G394" s="3">
        <f>IF(A394="","",IFERROR(E394/D394,0))</f>
      </c>
      <c r="H394" s="3">
        <f>IF(A394="","",IF(E394&gt;D394,"חריגת קיבולת",IF(E394=D394,"מלא","תקין")))</f>
      </c>
      <c r="I394" s="11"/>
      <c r="J394" s="11"/>
      <c r="K394" s="11"/>
      <c r="L394" s="11"/>
    </row>
    <row r="395" spans="1:12" x14ac:dyDescent="0.25">
      <c r="A395" s="11"/>
      <c r="B395" s="11"/>
      <c r="C395" s="11"/>
      <c r="D395" s="11"/>
      <c r="E395" s="3">
        <f>IF(A395="","",COUNTIF('02_Guest_Database'!F2:F999,A395))</f>
      </c>
      <c r="F395" s="3">
        <f>IF(A395="","",MAX(0,D395-E395))</f>
      </c>
      <c r="G395" s="3">
        <f>IF(A395="","",IFERROR(E395/D395,0))</f>
      </c>
      <c r="H395" s="3">
        <f>IF(A395="","",IF(E395&gt;D395,"חריגת קיבולת",IF(E395=D395,"מלא","תקין")))</f>
      </c>
      <c r="I395" s="11"/>
      <c r="J395" s="11"/>
      <c r="K395" s="11"/>
      <c r="L395" s="11"/>
    </row>
    <row r="396" spans="1:12" x14ac:dyDescent="0.25">
      <c r="A396" s="11"/>
      <c r="B396" s="11"/>
      <c r="C396" s="11"/>
      <c r="D396" s="11"/>
      <c r="E396" s="3">
        <f>IF(A396="","",COUNTIF('02_Guest_Database'!F2:F999,A396))</f>
      </c>
      <c r="F396" s="3">
        <f>IF(A396="","",MAX(0,D396-E396))</f>
      </c>
      <c r="G396" s="3">
        <f>IF(A396="","",IFERROR(E396/D396,0))</f>
      </c>
      <c r="H396" s="3">
        <f>IF(A396="","",IF(E396&gt;D396,"חריגת קיבולת",IF(E396=D396,"מלא","תקין")))</f>
      </c>
      <c r="I396" s="11"/>
      <c r="J396" s="11"/>
      <c r="K396" s="11"/>
      <c r="L396" s="11"/>
    </row>
    <row r="397" spans="1:12" x14ac:dyDescent="0.25">
      <c r="A397" s="11"/>
      <c r="B397" s="11"/>
      <c r="C397" s="11"/>
      <c r="D397" s="11"/>
      <c r="E397" s="3">
        <f>IF(A397="","",COUNTIF('02_Guest_Database'!F2:F999,A397))</f>
      </c>
      <c r="F397" s="3">
        <f>IF(A397="","",MAX(0,D397-E397))</f>
      </c>
      <c r="G397" s="3">
        <f>IF(A397="","",IFERROR(E397/D397,0))</f>
      </c>
      <c r="H397" s="3">
        <f>IF(A397="","",IF(E397&gt;D397,"חריגת קיבולת",IF(E397=D397,"מלא","תקין")))</f>
      </c>
      <c r="I397" s="11"/>
      <c r="J397" s="11"/>
      <c r="K397" s="11"/>
      <c r="L397" s="11"/>
    </row>
    <row r="398" spans="1:12" x14ac:dyDescent="0.25">
      <c r="A398" s="11"/>
      <c r="B398" s="11"/>
      <c r="C398" s="11"/>
      <c r="D398" s="11"/>
      <c r="E398" s="3">
        <f>IF(A398="","",COUNTIF('02_Guest_Database'!F2:F999,A398))</f>
      </c>
      <c r="F398" s="3">
        <f>IF(A398="","",MAX(0,D398-E398))</f>
      </c>
      <c r="G398" s="3">
        <f>IF(A398="","",IFERROR(E398/D398,0))</f>
      </c>
      <c r="H398" s="3">
        <f>IF(A398="","",IF(E398&gt;D398,"חריגת קיבולת",IF(E398=D398,"מלא","תקין")))</f>
      </c>
      <c r="I398" s="11"/>
      <c r="J398" s="11"/>
      <c r="K398" s="11"/>
      <c r="L398" s="11"/>
    </row>
    <row r="399" spans="1:12" x14ac:dyDescent="0.25">
      <c r="A399" s="11"/>
      <c r="B399" s="11"/>
      <c r="C399" s="11"/>
      <c r="D399" s="11"/>
      <c r="E399" s="3">
        <f>IF(A399="","",COUNTIF('02_Guest_Database'!F2:F999,A399))</f>
      </c>
      <c r="F399" s="3">
        <f>IF(A399="","",MAX(0,D399-E399))</f>
      </c>
      <c r="G399" s="3">
        <f>IF(A399="","",IFERROR(E399/D399,0))</f>
      </c>
      <c r="H399" s="3">
        <f>IF(A399="","",IF(E399&gt;D399,"חריגת קיבולת",IF(E399=D399,"מלא","תקין")))</f>
      </c>
      <c r="I399" s="11"/>
      <c r="J399" s="11"/>
      <c r="K399" s="11"/>
      <c r="L399" s="11"/>
    </row>
    <row r="400" spans="1:12" x14ac:dyDescent="0.25">
      <c r="A400" s="11"/>
      <c r="B400" s="11"/>
      <c r="C400" s="11"/>
      <c r="D400" s="11"/>
      <c r="E400" s="3">
        <f>IF(A400="","",COUNTIF('02_Guest_Database'!F2:F999,A400))</f>
      </c>
      <c r="F400" s="3">
        <f>IF(A400="","",MAX(0,D400-E400))</f>
      </c>
      <c r="G400" s="3">
        <f>IF(A400="","",IFERROR(E400/D400,0))</f>
      </c>
      <c r="H400" s="3">
        <f>IF(A400="","",IF(E400&gt;D400,"חריגת קיבולת",IF(E400=D400,"מלא","תקין")))</f>
      </c>
      <c r="I400" s="11"/>
      <c r="J400" s="11"/>
      <c r="K400" s="11"/>
      <c r="L400" s="11"/>
    </row>
    <row r="401" spans="1:12" x14ac:dyDescent="0.25">
      <c r="A401" s="11"/>
      <c r="B401" s="11"/>
      <c r="C401" s="11"/>
      <c r="D401" s="11"/>
      <c r="E401" s="3">
        <f>IF(A401="","",COUNTIF('02_Guest_Database'!F2:F999,A401))</f>
      </c>
      <c r="F401" s="3">
        <f>IF(A401="","",MAX(0,D401-E401))</f>
      </c>
      <c r="G401" s="3">
        <f>IF(A401="","",IFERROR(E401/D401,0))</f>
      </c>
      <c r="H401" s="3">
        <f>IF(A401="","",IF(E401&gt;D401,"חריגת קיבולת",IF(E401=D401,"מלא","תקין")))</f>
      </c>
      <c r="I401" s="11"/>
      <c r="J401" s="11"/>
      <c r="K401" s="11"/>
      <c r="L401" s="11"/>
    </row>
    <row r="402" spans="1:12" x14ac:dyDescent="0.25">
      <c r="A402" s="11"/>
      <c r="B402" s="11"/>
      <c r="C402" s="11"/>
      <c r="D402" s="11"/>
      <c r="E402" s="3">
        <f>IF(A402="","",COUNTIF('02_Guest_Database'!F2:F999,A402))</f>
      </c>
      <c r="F402" s="3">
        <f>IF(A402="","",MAX(0,D402-E402))</f>
      </c>
      <c r="G402" s="3">
        <f>IF(A402="","",IFERROR(E402/D402,0))</f>
      </c>
      <c r="H402" s="3">
        <f>IF(A402="","",IF(E402&gt;D402,"חריגת קיבולת",IF(E402=D402,"מלא","תקין")))</f>
      </c>
      <c r="I402" s="11"/>
      <c r="J402" s="11"/>
      <c r="K402" s="11"/>
      <c r="L402" s="11"/>
    </row>
    <row r="403" spans="1:12" x14ac:dyDescent="0.25">
      <c r="A403" s="11"/>
      <c r="B403" s="11"/>
      <c r="C403" s="11"/>
      <c r="D403" s="11"/>
      <c r="E403" s="3">
        <f>IF(A403="","",COUNTIF('02_Guest_Database'!F2:F999,A403))</f>
      </c>
      <c r="F403" s="3">
        <f>IF(A403="","",MAX(0,D403-E403))</f>
      </c>
      <c r="G403" s="3">
        <f>IF(A403="","",IFERROR(E403/D403,0))</f>
      </c>
      <c r="H403" s="3">
        <f>IF(A403="","",IF(E403&gt;D403,"חריגת קיבולת",IF(E403=D403,"מלא","תקין")))</f>
      </c>
      <c r="I403" s="11"/>
      <c r="J403" s="11"/>
      <c r="K403" s="11"/>
      <c r="L403" s="11"/>
    </row>
    <row r="404" spans="1:12" x14ac:dyDescent="0.25">
      <c r="A404" s="11"/>
      <c r="B404" s="11"/>
      <c r="C404" s="11"/>
      <c r="D404" s="11"/>
      <c r="E404" s="3">
        <f>IF(A404="","",COUNTIF('02_Guest_Database'!F2:F999,A404))</f>
      </c>
      <c r="F404" s="3">
        <f>IF(A404="","",MAX(0,D404-E404))</f>
      </c>
      <c r="G404" s="3">
        <f>IF(A404="","",IFERROR(E404/D404,0))</f>
      </c>
      <c r="H404" s="3">
        <f>IF(A404="","",IF(E404&gt;D404,"חריגת קיבולת",IF(E404=D404,"מלא","תקין")))</f>
      </c>
      <c r="I404" s="11"/>
      <c r="J404" s="11"/>
      <c r="K404" s="11"/>
      <c r="L404" s="11"/>
    </row>
    <row r="405" spans="1:12" x14ac:dyDescent="0.25">
      <c r="A405" s="11"/>
      <c r="B405" s="11"/>
      <c r="C405" s="11"/>
      <c r="D405" s="11"/>
      <c r="E405" s="3">
        <f>IF(A405="","",COUNTIF('02_Guest_Database'!F2:F999,A405))</f>
      </c>
      <c r="F405" s="3">
        <f>IF(A405="","",MAX(0,D405-E405))</f>
      </c>
      <c r="G405" s="3">
        <f>IF(A405="","",IFERROR(E405/D405,0))</f>
      </c>
      <c r="H405" s="3">
        <f>IF(A405="","",IF(E405&gt;D405,"חריגת קיבולת",IF(E405=D405,"מלא","תקין")))</f>
      </c>
      <c r="I405" s="11"/>
      <c r="J405" s="11"/>
      <c r="K405" s="11"/>
      <c r="L405" s="11"/>
    </row>
    <row r="406" spans="1:12" x14ac:dyDescent="0.25">
      <c r="A406" s="11"/>
      <c r="B406" s="11"/>
      <c r="C406" s="11"/>
      <c r="D406" s="11"/>
      <c r="E406" s="3">
        <f>IF(A406="","",COUNTIF('02_Guest_Database'!F2:F999,A406))</f>
      </c>
      <c r="F406" s="3">
        <f>IF(A406="","",MAX(0,D406-E406))</f>
      </c>
      <c r="G406" s="3">
        <f>IF(A406="","",IFERROR(E406/D406,0))</f>
      </c>
      <c r="H406" s="3">
        <f>IF(A406="","",IF(E406&gt;D406,"חריגת קיבולת",IF(E406=D406,"מלא","תקין")))</f>
      </c>
      <c r="I406" s="11"/>
      <c r="J406" s="11"/>
      <c r="K406" s="11"/>
      <c r="L406" s="11"/>
    </row>
    <row r="407" spans="1:12" x14ac:dyDescent="0.25">
      <c r="A407" s="11"/>
      <c r="B407" s="11"/>
      <c r="C407" s="11"/>
      <c r="D407" s="11"/>
      <c r="E407" s="3">
        <f>IF(A407="","",COUNTIF('02_Guest_Database'!F2:F999,A407))</f>
      </c>
      <c r="F407" s="3">
        <f>IF(A407="","",MAX(0,D407-E407))</f>
      </c>
      <c r="G407" s="3">
        <f>IF(A407="","",IFERROR(E407/D407,0))</f>
      </c>
      <c r="H407" s="3">
        <f>IF(A407="","",IF(E407&gt;D407,"חריגת קיבולת",IF(E407=D407,"מלא","תקין")))</f>
      </c>
      <c r="I407" s="11"/>
      <c r="J407" s="11"/>
      <c r="K407" s="11"/>
      <c r="L407" s="11"/>
    </row>
    <row r="408" spans="1:12" x14ac:dyDescent="0.25">
      <c r="A408" s="11"/>
      <c r="B408" s="11"/>
      <c r="C408" s="11"/>
      <c r="D408" s="11"/>
      <c r="E408" s="3">
        <f>IF(A408="","",COUNTIF('02_Guest_Database'!F2:F999,A408))</f>
      </c>
      <c r="F408" s="3">
        <f>IF(A408="","",MAX(0,D408-E408))</f>
      </c>
      <c r="G408" s="3">
        <f>IF(A408="","",IFERROR(E408/D408,0))</f>
      </c>
      <c r="H408" s="3">
        <f>IF(A408="","",IF(E408&gt;D408,"חריגת קיבולת",IF(E408=D408,"מלא","תקין")))</f>
      </c>
      <c r="I408" s="11"/>
      <c r="J408" s="11"/>
      <c r="K408" s="11"/>
      <c r="L408" s="11"/>
    </row>
    <row r="409" spans="1:12" x14ac:dyDescent="0.25">
      <c r="A409" s="11"/>
      <c r="B409" s="11"/>
      <c r="C409" s="11"/>
      <c r="D409" s="11"/>
      <c r="E409" s="3">
        <f>IF(A409="","",COUNTIF('02_Guest_Database'!F2:F999,A409))</f>
      </c>
      <c r="F409" s="3">
        <f>IF(A409="","",MAX(0,D409-E409))</f>
      </c>
      <c r="G409" s="3">
        <f>IF(A409="","",IFERROR(E409/D409,0))</f>
      </c>
      <c r="H409" s="3">
        <f>IF(A409="","",IF(E409&gt;D409,"חריגת קיבולת",IF(E409=D409,"מלא","תקין")))</f>
      </c>
      <c r="I409" s="11"/>
      <c r="J409" s="11"/>
      <c r="K409" s="11"/>
      <c r="L409" s="11"/>
    </row>
    <row r="410" spans="1:12" x14ac:dyDescent="0.25">
      <c r="A410" s="11"/>
      <c r="B410" s="11"/>
      <c r="C410" s="11"/>
      <c r="D410" s="11"/>
      <c r="E410" s="3">
        <f>IF(A410="","",COUNTIF('02_Guest_Database'!F2:F999,A410))</f>
      </c>
      <c r="F410" s="3">
        <f>IF(A410="","",MAX(0,D410-E410))</f>
      </c>
      <c r="G410" s="3">
        <f>IF(A410="","",IFERROR(E410/D410,0))</f>
      </c>
      <c r="H410" s="3">
        <f>IF(A410="","",IF(E410&gt;D410,"חריגת קיבולת",IF(E410=D410,"מלא","תקין")))</f>
      </c>
      <c r="I410" s="11"/>
      <c r="J410" s="11"/>
      <c r="K410" s="11"/>
      <c r="L410" s="11"/>
    </row>
    <row r="411" spans="1:12" x14ac:dyDescent="0.25">
      <c r="A411" s="11"/>
      <c r="B411" s="11"/>
      <c r="C411" s="11"/>
      <c r="D411" s="11"/>
      <c r="E411" s="3">
        <f>IF(A411="","",COUNTIF('02_Guest_Database'!F2:F999,A411))</f>
      </c>
      <c r="F411" s="3">
        <f>IF(A411="","",MAX(0,D411-E411))</f>
      </c>
      <c r="G411" s="3">
        <f>IF(A411="","",IFERROR(E411/D411,0))</f>
      </c>
      <c r="H411" s="3">
        <f>IF(A411="","",IF(E411&gt;D411,"חריגת קיבולת",IF(E411=D411,"מלא","תקין")))</f>
      </c>
      <c r="I411" s="11"/>
      <c r="J411" s="11"/>
      <c r="K411" s="11"/>
      <c r="L411" s="11"/>
    </row>
    <row r="412" spans="1:12" x14ac:dyDescent="0.25">
      <c r="A412" s="11"/>
      <c r="B412" s="11"/>
      <c r="C412" s="11"/>
      <c r="D412" s="11"/>
      <c r="E412" s="3">
        <f>IF(A412="","",COUNTIF('02_Guest_Database'!F2:F999,A412))</f>
      </c>
      <c r="F412" s="3">
        <f>IF(A412="","",MAX(0,D412-E412))</f>
      </c>
      <c r="G412" s="3">
        <f>IF(A412="","",IFERROR(E412/D412,0))</f>
      </c>
      <c r="H412" s="3">
        <f>IF(A412="","",IF(E412&gt;D412,"חריגת קיבולת",IF(E412=D412,"מלא","תקין")))</f>
      </c>
      <c r="I412" s="11"/>
      <c r="J412" s="11"/>
      <c r="K412" s="11"/>
      <c r="L412" s="11"/>
    </row>
    <row r="413" spans="1:12" x14ac:dyDescent="0.25">
      <c r="A413" s="11"/>
      <c r="B413" s="11"/>
      <c r="C413" s="11"/>
      <c r="D413" s="11"/>
      <c r="E413" s="3">
        <f>IF(A413="","",COUNTIF('02_Guest_Database'!F2:F999,A413))</f>
      </c>
      <c r="F413" s="3">
        <f>IF(A413="","",MAX(0,D413-E413))</f>
      </c>
      <c r="G413" s="3">
        <f>IF(A413="","",IFERROR(E413/D413,0))</f>
      </c>
      <c r="H413" s="3">
        <f>IF(A413="","",IF(E413&gt;D413,"חריגת קיבולת",IF(E413=D413,"מלא","תקין")))</f>
      </c>
      <c r="I413" s="11"/>
      <c r="J413" s="11"/>
      <c r="K413" s="11"/>
      <c r="L413" s="11"/>
    </row>
    <row r="414" spans="1:12" x14ac:dyDescent="0.25">
      <c r="A414" s="11"/>
      <c r="B414" s="11"/>
      <c r="C414" s="11"/>
      <c r="D414" s="11"/>
      <c r="E414" s="3">
        <f>IF(A414="","",COUNTIF('02_Guest_Database'!F2:F999,A414))</f>
      </c>
      <c r="F414" s="3">
        <f>IF(A414="","",MAX(0,D414-E414))</f>
      </c>
      <c r="G414" s="3">
        <f>IF(A414="","",IFERROR(E414/D414,0))</f>
      </c>
      <c r="H414" s="3">
        <f>IF(A414="","",IF(E414&gt;D414,"חריגת קיבולת",IF(E414=D414,"מלא","תקין")))</f>
      </c>
      <c r="I414" s="11"/>
      <c r="J414" s="11"/>
      <c r="K414" s="11"/>
      <c r="L414" s="11"/>
    </row>
    <row r="415" spans="1:12" x14ac:dyDescent="0.25">
      <c r="A415" s="11"/>
      <c r="B415" s="11"/>
      <c r="C415" s="11"/>
      <c r="D415" s="11"/>
      <c r="E415" s="3">
        <f>IF(A415="","",COUNTIF('02_Guest_Database'!F2:F999,A415))</f>
      </c>
      <c r="F415" s="3">
        <f>IF(A415="","",MAX(0,D415-E415))</f>
      </c>
      <c r="G415" s="3">
        <f>IF(A415="","",IFERROR(E415/D415,0))</f>
      </c>
      <c r="H415" s="3">
        <f>IF(A415="","",IF(E415&gt;D415,"חריגת קיבולת",IF(E415=D415,"מלא","תקין")))</f>
      </c>
      <c r="I415" s="11"/>
      <c r="J415" s="11"/>
      <c r="K415" s="11"/>
      <c r="L415" s="11"/>
    </row>
    <row r="416" spans="1:12" x14ac:dyDescent="0.25">
      <c r="A416" s="11"/>
      <c r="B416" s="11"/>
      <c r="C416" s="11"/>
      <c r="D416" s="11"/>
      <c r="E416" s="3">
        <f>IF(A416="","",COUNTIF('02_Guest_Database'!F2:F999,A416))</f>
      </c>
      <c r="F416" s="3">
        <f>IF(A416="","",MAX(0,D416-E416))</f>
      </c>
      <c r="G416" s="3">
        <f>IF(A416="","",IFERROR(E416/D416,0))</f>
      </c>
      <c r="H416" s="3">
        <f>IF(A416="","",IF(E416&gt;D416,"חריגת קיבולת",IF(E416=D416,"מלא","תקין")))</f>
      </c>
      <c r="I416" s="11"/>
      <c r="J416" s="11"/>
      <c r="K416" s="11"/>
      <c r="L416" s="11"/>
    </row>
    <row r="417" spans="1:12" x14ac:dyDescent="0.25">
      <c r="A417" s="11"/>
      <c r="B417" s="11"/>
      <c r="C417" s="11"/>
      <c r="D417" s="11"/>
      <c r="E417" s="3">
        <f>IF(A417="","",COUNTIF('02_Guest_Database'!F2:F999,A417))</f>
      </c>
      <c r="F417" s="3">
        <f>IF(A417="","",MAX(0,D417-E417))</f>
      </c>
      <c r="G417" s="3">
        <f>IF(A417="","",IFERROR(E417/D417,0))</f>
      </c>
      <c r="H417" s="3">
        <f>IF(A417="","",IF(E417&gt;D417,"חריגת קיבולת",IF(E417=D417,"מלא","תקין")))</f>
      </c>
      <c r="I417" s="11"/>
      <c r="J417" s="11"/>
      <c r="K417" s="11"/>
      <c r="L417" s="11"/>
    </row>
    <row r="418" spans="1:12" x14ac:dyDescent="0.25">
      <c r="A418" s="11"/>
      <c r="B418" s="11"/>
      <c r="C418" s="11"/>
      <c r="D418" s="11"/>
      <c r="E418" s="3">
        <f>IF(A418="","",COUNTIF('02_Guest_Database'!F2:F999,A418))</f>
      </c>
      <c r="F418" s="3">
        <f>IF(A418="","",MAX(0,D418-E418))</f>
      </c>
      <c r="G418" s="3">
        <f>IF(A418="","",IFERROR(E418/D418,0))</f>
      </c>
      <c r="H418" s="3">
        <f>IF(A418="","",IF(E418&gt;D418,"חריגת קיבולת",IF(E418=D418,"מלא","תקין")))</f>
      </c>
      <c r="I418" s="11"/>
      <c r="J418" s="11"/>
      <c r="K418" s="11"/>
      <c r="L418" s="11"/>
    </row>
    <row r="419" spans="1:12" x14ac:dyDescent="0.25">
      <c r="A419" s="11"/>
      <c r="B419" s="11"/>
      <c r="C419" s="11"/>
      <c r="D419" s="11"/>
      <c r="E419" s="3">
        <f>IF(A419="","",COUNTIF('02_Guest_Database'!F2:F999,A419))</f>
      </c>
      <c r="F419" s="3">
        <f>IF(A419="","",MAX(0,D419-E419))</f>
      </c>
      <c r="G419" s="3">
        <f>IF(A419="","",IFERROR(E419/D419,0))</f>
      </c>
      <c r="H419" s="3">
        <f>IF(A419="","",IF(E419&gt;D419,"חריגת קיבולת",IF(E419=D419,"מלא","תקין")))</f>
      </c>
      <c r="I419" s="11"/>
      <c r="J419" s="11"/>
      <c r="K419" s="11"/>
      <c r="L419" s="11"/>
    </row>
    <row r="420" spans="1:12" x14ac:dyDescent="0.25">
      <c r="A420" s="11"/>
      <c r="B420" s="11"/>
      <c r="C420" s="11"/>
      <c r="D420" s="11"/>
      <c r="E420" s="3">
        <f>IF(A420="","",COUNTIF('02_Guest_Database'!F2:F999,A420))</f>
      </c>
      <c r="F420" s="3">
        <f>IF(A420="","",MAX(0,D420-E420))</f>
      </c>
      <c r="G420" s="3">
        <f>IF(A420="","",IFERROR(E420/D420,0))</f>
      </c>
      <c r="H420" s="3">
        <f>IF(A420="","",IF(E420&gt;D420,"חריגת קיבולת",IF(E420=D420,"מלא","תקין")))</f>
      </c>
      <c r="I420" s="11"/>
      <c r="J420" s="11"/>
      <c r="K420" s="11"/>
      <c r="L420" s="11"/>
    </row>
    <row r="421" spans="1:12" x14ac:dyDescent="0.25">
      <c r="A421" s="11"/>
      <c r="B421" s="11"/>
      <c r="C421" s="11"/>
      <c r="D421" s="11"/>
      <c r="E421" s="3">
        <f>IF(A421="","",COUNTIF('02_Guest_Database'!F2:F999,A421))</f>
      </c>
      <c r="F421" s="3">
        <f>IF(A421="","",MAX(0,D421-E421))</f>
      </c>
      <c r="G421" s="3">
        <f>IF(A421="","",IFERROR(E421/D421,0))</f>
      </c>
      <c r="H421" s="3">
        <f>IF(A421="","",IF(E421&gt;D421,"חריגת קיבולת",IF(E421=D421,"מלא","תקין")))</f>
      </c>
      <c r="I421" s="11"/>
      <c r="J421" s="11"/>
      <c r="K421" s="11"/>
      <c r="L421" s="11"/>
    </row>
    <row r="422" spans="1:12" x14ac:dyDescent="0.25">
      <c r="A422" s="11"/>
      <c r="B422" s="11"/>
      <c r="C422" s="11"/>
      <c r="D422" s="11"/>
      <c r="E422" s="3">
        <f>IF(A422="","",COUNTIF('02_Guest_Database'!F2:F999,A422))</f>
      </c>
      <c r="F422" s="3">
        <f>IF(A422="","",MAX(0,D422-E422))</f>
      </c>
      <c r="G422" s="3">
        <f>IF(A422="","",IFERROR(E422/D422,0))</f>
      </c>
      <c r="H422" s="3">
        <f>IF(A422="","",IF(E422&gt;D422,"חריגת קיבולת",IF(E422=D422,"מלא","תקין")))</f>
      </c>
      <c r="I422" s="11"/>
      <c r="J422" s="11"/>
      <c r="K422" s="11"/>
      <c r="L422" s="11"/>
    </row>
    <row r="423" spans="1:12" x14ac:dyDescent="0.25">
      <c r="A423" s="11"/>
      <c r="B423" s="11"/>
      <c r="C423" s="11"/>
      <c r="D423" s="11"/>
      <c r="E423" s="3">
        <f>IF(A423="","",COUNTIF('02_Guest_Database'!F2:F999,A423))</f>
      </c>
      <c r="F423" s="3">
        <f>IF(A423="","",MAX(0,D423-E423))</f>
      </c>
      <c r="G423" s="3">
        <f>IF(A423="","",IFERROR(E423/D423,0))</f>
      </c>
      <c r="H423" s="3">
        <f>IF(A423="","",IF(E423&gt;D423,"חריגת קיבולת",IF(E423=D423,"מלא","תקין")))</f>
      </c>
      <c r="I423" s="11"/>
      <c r="J423" s="11"/>
      <c r="K423" s="11"/>
      <c r="L423" s="11"/>
    </row>
    <row r="424" spans="1:12" x14ac:dyDescent="0.25">
      <c r="A424" s="11"/>
      <c r="B424" s="11"/>
      <c r="C424" s="11"/>
      <c r="D424" s="11"/>
      <c r="E424" s="3">
        <f>IF(A424="","",COUNTIF('02_Guest_Database'!F2:F999,A424))</f>
      </c>
      <c r="F424" s="3">
        <f>IF(A424="","",MAX(0,D424-E424))</f>
      </c>
      <c r="G424" s="3">
        <f>IF(A424="","",IFERROR(E424/D424,0))</f>
      </c>
      <c r="H424" s="3">
        <f>IF(A424="","",IF(E424&gt;D424,"חריגת קיבולת",IF(E424=D424,"מלא","תקין")))</f>
      </c>
      <c r="I424" s="11"/>
      <c r="J424" s="11"/>
      <c r="K424" s="11"/>
      <c r="L424" s="11"/>
    </row>
    <row r="425" spans="1:12" x14ac:dyDescent="0.25">
      <c r="A425" s="11"/>
      <c r="B425" s="11"/>
      <c r="C425" s="11"/>
      <c r="D425" s="11"/>
      <c r="E425" s="3">
        <f>IF(A425="","",COUNTIF('02_Guest_Database'!F2:F999,A425))</f>
      </c>
      <c r="F425" s="3">
        <f>IF(A425="","",MAX(0,D425-E425))</f>
      </c>
      <c r="G425" s="3">
        <f>IF(A425="","",IFERROR(E425/D425,0))</f>
      </c>
      <c r="H425" s="3">
        <f>IF(A425="","",IF(E425&gt;D425,"חריגת קיבולת",IF(E425=D425,"מלא","תקין")))</f>
      </c>
      <c r="I425" s="11"/>
      <c r="J425" s="11"/>
      <c r="K425" s="11"/>
      <c r="L425" s="11"/>
    </row>
    <row r="426" spans="1:12" x14ac:dyDescent="0.25">
      <c r="A426" s="11"/>
      <c r="B426" s="11"/>
      <c r="C426" s="11"/>
      <c r="D426" s="11"/>
      <c r="E426" s="3">
        <f>IF(A426="","",COUNTIF('02_Guest_Database'!F2:F999,A426))</f>
      </c>
      <c r="F426" s="3">
        <f>IF(A426="","",MAX(0,D426-E426))</f>
      </c>
      <c r="G426" s="3">
        <f>IF(A426="","",IFERROR(E426/D426,0))</f>
      </c>
      <c r="H426" s="3">
        <f>IF(A426="","",IF(E426&gt;D426,"חריגת קיבולת",IF(E426=D426,"מלא","תקין")))</f>
      </c>
      <c r="I426" s="11"/>
      <c r="J426" s="11"/>
      <c r="K426" s="11"/>
      <c r="L426" s="11"/>
    </row>
    <row r="427" spans="1:12" x14ac:dyDescent="0.25">
      <c r="A427" s="11"/>
      <c r="B427" s="11"/>
      <c r="C427" s="11"/>
      <c r="D427" s="11"/>
      <c r="E427" s="3">
        <f>IF(A427="","",COUNTIF('02_Guest_Database'!F2:F999,A427))</f>
      </c>
      <c r="F427" s="3">
        <f>IF(A427="","",MAX(0,D427-E427))</f>
      </c>
      <c r="G427" s="3">
        <f>IF(A427="","",IFERROR(E427/D427,0))</f>
      </c>
      <c r="H427" s="3">
        <f>IF(A427="","",IF(E427&gt;D427,"חריגת קיבולת",IF(E427=D427,"מלא","תקין")))</f>
      </c>
      <c r="I427" s="11"/>
      <c r="J427" s="11"/>
      <c r="K427" s="11"/>
      <c r="L427" s="11"/>
    </row>
    <row r="428" spans="1:12" x14ac:dyDescent="0.25">
      <c r="A428" s="11"/>
      <c r="B428" s="11"/>
      <c r="C428" s="11"/>
      <c r="D428" s="11"/>
      <c r="E428" s="3">
        <f>IF(A428="","",COUNTIF('02_Guest_Database'!F2:F999,A428))</f>
      </c>
      <c r="F428" s="3">
        <f>IF(A428="","",MAX(0,D428-E428))</f>
      </c>
      <c r="G428" s="3">
        <f>IF(A428="","",IFERROR(E428/D428,0))</f>
      </c>
      <c r="H428" s="3">
        <f>IF(A428="","",IF(E428&gt;D428,"חריגת קיבולת",IF(E428=D428,"מלא","תקין")))</f>
      </c>
      <c r="I428" s="11"/>
      <c r="J428" s="11"/>
      <c r="K428" s="11"/>
      <c r="L428" s="11"/>
    </row>
    <row r="429" spans="1:12" x14ac:dyDescent="0.25">
      <c r="A429" s="11"/>
      <c r="B429" s="11"/>
      <c r="C429" s="11"/>
      <c r="D429" s="11"/>
      <c r="E429" s="3">
        <f>IF(A429="","",COUNTIF('02_Guest_Database'!F2:F999,A429))</f>
      </c>
      <c r="F429" s="3">
        <f>IF(A429="","",MAX(0,D429-E429))</f>
      </c>
      <c r="G429" s="3">
        <f>IF(A429="","",IFERROR(E429/D429,0))</f>
      </c>
      <c r="H429" s="3">
        <f>IF(A429="","",IF(E429&gt;D429,"חריגת קיבולת",IF(E429=D429,"מלא","תקין")))</f>
      </c>
      <c r="I429" s="11"/>
      <c r="J429" s="11"/>
      <c r="K429" s="11"/>
      <c r="L429" s="11"/>
    </row>
    <row r="430" spans="1:12" x14ac:dyDescent="0.25">
      <c r="A430" s="11"/>
      <c r="B430" s="11"/>
      <c r="C430" s="11"/>
      <c r="D430" s="11"/>
      <c r="E430" s="3">
        <f>IF(A430="","",COUNTIF('02_Guest_Database'!F2:F999,A430))</f>
      </c>
      <c r="F430" s="3">
        <f>IF(A430="","",MAX(0,D430-E430))</f>
      </c>
      <c r="G430" s="3">
        <f>IF(A430="","",IFERROR(E430/D430,0))</f>
      </c>
      <c r="H430" s="3">
        <f>IF(A430="","",IF(E430&gt;D430,"חריגת קיבולת",IF(E430=D430,"מלא","תקין")))</f>
      </c>
      <c r="I430" s="11"/>
      <c r="J430" s="11"/>
      <c r="K430" s="11"/>
      <c r="L430" s="11"/>
    </row>
    <row r="431" spans="1:12" x14ac:dyDescent="0.25">
      <c r="A431" s="11"/>
      <c r="B431" s="11"/>
      <c r="C431" s="11"/>
      <c r="D431" s="11"/>
      <c r="E431" s="3">
        <f>IF(A431="","",COUNTIF('02_Guest_Database'!F2:F999,A431))</f>
      </c>
      <c r="F431" s="3">
        <f>IF(A431="","",MAX(0,D431-E431))</f>
      </c>
      <c r="G431" s="3">
        <f>IF(A431="","",IFERROR(E431/D431,0))</f>
      </c>
      <c r="H431" s="3">
        <f>IF(A431="","",IF(E431&gt;D431,"חריגת קיבולת",IF(E431=D431,"מלא","תקין")))</f>
      </c>
      <c r="I431" s="11"/>
      <c r="J431" s="11"/>
      <c r="K431" s="11"/>
      <c r="L431" s="11"/>
    </row>
    <row r="432" spans="1:12" x14ac:dyDescent="0.25">
      <c r="A432" s="11"/>
      <c r="B432" s="11"/>
      <c r="C432" s="11"/>
      <c r="D432" s="11"/>
      <c r="E432" s="3">
        <f>IF(A432="","",COUNTIF('02_Guest_Database'!F2:F999,A432))</f>
      </c>
      <c r="F432" s="3">
        <f>IF(A432="","",MAX(0,D432-E432))</f>
      </c>
      <c r="G432" s="3">
        <f>IF(A432="","",IFERROR(E432/D432,0))</f>
      </c>
      <c r="H432" s="3">
        <f>IF(A432="","",IF(E432&gt;D432,"חריגת קיבולת",IF(E432=D432,"מלא","תקין")))</f>
      </c>
      <c r="I432" s="11"/>
      <c r="J432" s="11"/>
      <c r="K432" s="11"/>
      <c r="L432" s="11"/>
    </row>
    <row r="433" spans="1:12" x14ac:dyDescent="0.25">
      <c r="A433" s="11"/>
      <c r="B433" s="11"/>
      <c r="C433" s="11"/>
      <c r="D433" s="11"/>
      <c r="E433" s="3">
        <f>IF(A433="","",COUNTIF('02_Guest_Database'!F2:F999,A433))</f>
      </c>
      <c r="F433" s="3">
        <f>IF(A433="","",MAX(0,D433-E433))</f>
      </c>
      <c r="G433" s="3">
        <f>IF(A433="","",IFERROR(E433/D433,0))</f>
      </c>
      <c r="H433" s="3">
        <f>IF(A433="","",IF(E433&gt;D433,"חריגת קיבולת",IF(E433=D433,"מלא","תקין")))</f>
      </c>
      <c r="I433" s="11"/>
      <c r="J433" s="11"/>
      <c r="K433" s="11"/>
      <c r="L433" s="11"/>
    </row>
    <row r="434" spans="1:12" x14ac:dyDescent="0.25">
      <c r="A434" s="11"/>
      <c r="B434" s="11"/>
      <c r="C434" s="11"/>
      <c r="D434" s="11"/>
      <c r="E434" s="3">
        <f>IF(A434="","",COUNTIF('02_Guest_Database'!F2:F999,A434))</f>
      </c>
      <c r="F434" s="3">
        <f>IF(A434="","",MAX(0,D434-E434))</f>
      </c>
      <c r="G434" s="3">
        <f>IF(A434="","",IFERROR(E434/D434,0))</f>
      </c>
      <c r="H434" s="3">
        <f>IF(A434="","",IF(E434&gt;D434,"חריגת קיבולת",IF(E434=D434,"מלא","תקין")))</f>
      </c>
      <c r="I434" s="11"/>
      <c r="J434" s="11"/>
      <c r="K434" s="11"/>
      <c r="L434" s="11"/>
    </row>
    <row r="435" spans="1:12" x14ac:dyDescent="0.25">
      <c r="A435" s="11"/>
      <c r="B435" s="11"/>
      <c r="C435" s="11"/>
      <c r="D435" s="11"/>
      <c r="E435" s="3">
        <f>IF(A435="","",COUNTIF('02_Guest_Database'!F2:F999,A435))</f>
      </c>
      <c r="F435" s="3">
        <f>IF(A435="","",MAX(0,D435-E435))</f>
      </c>
      <c r="G435" s="3">
        <f>IF(A435="","",IFERROR(E435/D435,0))</f>
      </c>
      <c r="H435" s="3">
        <f>IF(A435="","",IF(E435&gt;D435,"חריגת קיבולת",IF(E435=D435,"מלא","תקין")))</f>
      </c>
      <c r="I435" s="11"/>
      <c r="J435" s="11"/>
      <c r="K435" s="11"/>
      <c r="L435" s="11"/>
    </row>
    <row r="436" spans="1:12" x14ac:dyDescent="0.25">
      <c r="A436" s="11"/>
      <c r="B436" s="11"/>
      <c r="C436" s="11"/>
      <c r="D436" s="11"/>
      <c r="E436" s="3">
        <f>IF(A436="","",COUNTIF('02_Guest_Database'!F2:F999,A436))</f>
      </c>
      <c r="F436" s="3">
        <f>IF(A436="","",MAX(0,D436-E436))</f>
      </c>
      <c r="G436" s="3">
        <f>IF(A436="","",IFERROR(E436/D436,0))</f>
      </c>
      <c r="H436" s="3">
        <f>IF(A436="","",IF(E436&gt;D436,"חריגת קיבולת",IF(E436=D436,"מלא","תקין")))</f>
      </c>
      <c r="I436" s="11"/>
      <c r="J436" s="11"/>
      <c r="K436" s="11"/>
      <c r="L436" s="11"/>
    </row>
    <row r="437" spans="1:12" x14ac:dyDescent="0.25">
      <c r="A437" s="11"/>
      <c r="B437" s="11"/>
      <c r="C437" s="11"/>
      <c r="D437" s="11"/>
      <c r="E437" s="3">
        <f>IF(A437="","",COUNTIF('02_Guest_Database'!F2:F999,A437))</f>
      </c>
      <c r="F437" s="3">
        <f>IF(A437="","",MAX(0,D437-E437))</f>
      </c>
      <c r="G437" s="3">
        <f>IF(A437="","",IFERROR(E437/D437,0))</f>
      </c>
      <c r="H437" s="3">
        <f>IF(A437="","",IF(E437&gt;D437,"חריגת קיבולת",IF(E437=D437,"מלא","תקין")))</f>
      </c>
      <c r="I437" s="11"/>
      <c r="J437" s="11"/>
      <c r="K437" s="11"/>
      <c r="L437" s="11"/>
    </row>
    <row r="438" spans="1:12" x14ac:dyDescent="0.25">
      <c r="A438" s="11"/>
      <c r="B438" s="11"/>
      <c r="C438" s="11"/>
      <c r="D438" s="11"/>
      <c r="E438" s="3">
        <f>IF(A438="","",COUNTIF('02_Guest_Database'!F2:F999,A438))</f>
      </c>
      <c r="F438" s="3">
        <f>IF(A438="","",MAX(0,D438-E438))</f>
      </c>
      <c r="G438" s="3">
        <f>IF(A438="","",IFERROR(E438/D438,0))</f>
      </c>
      <c r="H438" s="3">
        <f>IF(A438="","",IF(E438&gt;D438,"חריגת קיבולת",IF(E438=D438,"מלא","תקין")))</f>
      </c>
      <c r="I438" s="11"/>
      <c r="J438" s="11"/>
      <c r="K438" s="11"/>
      <c r="L438" s="11"/>
    </row>
    <row r="439" spans="1:12" x14ac:dyDescent="0.25">
      <c r="A439" s="11"/>
      <c r="B439" s="11"/>
      <c r="C439" s="11"/>
      <c r="D439" s="11"/>
      <c r="E439" s="3">
        <f>IF(A439="","",COUNTIF('02_Guest_Database'!F2:F999,A439))</f>
      </c>
      <c r="F439" s="3">
        <f>IF(A439="","",MAX(0,D439-E439))</f>
      </c>
      <c r="G439" s="3">
        <f>IF(A439="","",IFERROR(E439/D439,0))</f>
      </c>
      <c r="H439" s="3">
        <f>IF(A439="","",IF(E439&gt;D439,"חריגת קיבולת",IF(E439=D439,"מלא","תקין")))</f>
      </c>
      <c r="I439" s="11"/>
      <c r="J439" s="11"/>
      <c r="K439" s="11"/>
      <c r="L439" s="11"/>
    </row>
    <row r="440" spans="1:12" x14ac:dyDescent="0.25">
      <c r="A440" s="11"/>
      <c r="B440" s="11"/>
      <c r="C440" s="11"/>
      <c r="D440" s="11"/>
      <c r="E440" s="3">
        <f>IF(A440="","",COUNTIF('02_Guest_Database'!F2:F999,A440))</f>
      </c>
      <c r="F440" s="3">
        <f>IF(A440="","",MAX(0,D440-E440))</f>
      </c>
      <c r="G440" s="3">
        <f>IF(A440="","",IFERROR(E440/D440,0))</f>
      </c>
      <c r="H440" s="3">
        <f>IF(A440="","",IF(E440&gt;D440,"חריגת קיבולת",IF(E440=D440,"מלא","תקין")))</f>
      </c>
      <c r="I440" s="11"/>
      <c r="J440" s="11"/>
      <c r="K440" s="11"/>
      <c r="L440" s="11"/>
    </row>
    <row r="441" spans="1:12" x14ac:dyDescent="0.25">
      <c r="A441" s="11"/>
      <c r="B441" s="11"/>
      <c r="C441" s="11"/>
      <c r="D441" s="11"/>
      <c r="E441" s="3">
        <f>IF(A441="","",COUNTIF('02_Guest_Database'!F2:F999,A441))</f>
      </c>
      <c r="F441" s="3">
        <f>IF(A441="","",MAX(0,D441-E441))</f>
      </c>
      <c r="G441" s="3">
        <f>IF(A441="","",IFERROR(E441/D441,0))</f>
      </c>
      <c r="H441" s="3">
        <f>IF(A441="","",IF(E441&gt;D441,"חריגת קיבולת",IF(E441=D441,"מלא","תקין")))</f>
      </c>
      <c r="I441" s="11"/>
      <c r="J441" s="11"/>
      <c r="K441" s="11"/>
      <c r="L441" s="11"/>
    </row>
    <row r="442" spans="1:12" x14ac:dyDescent="0.25">
      <c r="A442" s="11"/>
      <c r="B442" s="11"/>
      <c r="C442" s="11"/>
      <c r="D442" s="11"/>
      <c r="E442" s="3">
        <f>IF(A442="","",COUNTIF('02_Guest_Database'!F2:F999,A442))</f>
      </c>
      <c r="F442" s="3">
        <f>IF(A442="","",MAX(0,D442-E442))</f>
      </c>
      <c r="G442" s="3">
        <f>IF(A442="","",IFERROR(E442/D442,0))</f>
      </c>
      <c r="H442" s="3">
        <f>IF(A442="","",IF(E442&gt;D442,"חריגת קיבולת",IF(E442=D442,"מלא","תקין")))</f>
      </c>
      <c r="I442" s="11"/>
      <c r="J442" s="11"/>
      <c r="K442" s="11"/>
      <c r="L442" s="11"/>
    </row>
    <row r="443" spans="1:12" x14ac:dyDescent="0.25">
      <c r="A443" s="11"/>
      <c r="B443" s="11"/>
      <c r="C443" s="11"/>
      <c r="D443" s="11"/>
      <c r="E443" s="3">
        <f>IF(A443="","",COUNTIF('02_Guest_Database'!F2:F999,A443))</f>
      </c>
      <c r="F443" s="3">
        <f>IF(A443="","",MAX(0,D443-E443))</f>
      </c>
      <c r="G443" s="3">
        <f>IF(A443="","",IFERROR(E443/D443,0))</f>
      </c>
      <c r="H443" s="3">
        <f>IF(A443="","",IF(E443&gt;D443,"חריגת קיבולת",IF(E443=D443,"מלא","תקין")))</f>
      </c>
      <c r="I443" s="11"/>
      <c r="J443" s="11"/>
      <c r="K443" s="11"/>
      <c r="L443" s="11"/>
    </row>
    <row r="444" spans="1:12" x14ac:dyDescent="0.25">
      <c r="A444" s="11"/>
      <c r="B444" s="11"/>
      <c r="C444" s="11"/>
      <c r="D444" s="11"/>
      <c r="E444" s="3">
        <f>IF(A444="","",COUNTIF('02_Guest_Database'!F2:F999,A444))</f>
      </c>
      <c r="F444" s="3">
        <f>IF(A444="","",MAX(0,D444-E444))</f>
      </c>
      <c r="G444" s="3">
        <f>IF(A444="","",IFERROR(E444/D444,0))</f>
      </c>
      <c r="H444" s="3">
        <f>IF(A444="","",IF(E444&gt;D444,"חריגת קיבולת",IF(E444=D444,"מלא","תקין")))</f>
      </c>
      <c r="I444" s="11"/>
      <c r="J444" s="11"/>
      <c r="K444" s="11"/>
      <c r="L444" s="11"/>
    </row>
    <row r="445" spans="1:12" x14ac:dyDescent="0.25">
      <c r="A445" s="11"/>
      <c r="B445" s="11"/>
      <c r="C445" s="11"/>
      <c r="D445" s="11"/>
      <c r="E445" s="3">
        <f>IF(A445="","",COUNTIF('02_Guest_Database'!F2:F999,A445))</f>
      </c>
      <c r="F445" s="3">
        <f>IF(A445="","",MAX(0,D445-E445))</f>
      </c>
      <c r="G445" s="3">
        <f>IF(A445="","",IFERROR(E445/D445,0))</f>
      </c>
      <c r="H445" s="3">
        <f>IF(A445="","",IF(E445&gt;D445,"חריגת קיבולת",IF(E445=D445,"מלא","תקין")))</f>
      </c>
      <c r="I445" s="11"/>
      <c r="J445" s="11"/>
      <c r="K445" s="11"/>
      <c r="L445" s="11"/>
    </row>
    <row r="446" spans="1:12" x14ac:dyDescent="0.25">
      <c r="A446" s="11"/>
      <c r="B446" s="11"/>
      <c r="C446" s="11"/>
      <c r="D446" s="11"/>
      <c r="E446" s="3">
        <f>IF(A446="","",COUNTIF('02_Guest_Database'!F2:F999,A446))</f>
      </c>
      <c r="F446" s="3">
        <f>IF(A446="","",MAX(0,D446-E446))</f>
      </c>
      <c r="G446" s="3">
        <f>IF(A446="","",IFERROR(E446/D446,0))</f>
      </c>
      <c r="H446" s="3">
        <f>IF(A446="","",IF(E446&gt;D446,"חריגת קיבולת",IF(E446=D446,"מלא","תקין")))</f>
      </c>
      <c r="I446" s="11"/>
      <c r="J446" s="11"/>
      <c r="K446" s="11"/>
      <c r="L446" s="11"/>
    </row>
    <row r="447" spans="1:12" x14ac:dyDescent="0.25">
      <c r="A447" s="11"/>
      <c r="B447" s="11"/>
      <c r="C447" s="11"/>
      <c r="D447" s="11"/>
      <c r="E447" s="3">
        <f>IF(A447="","",COUNTIF('02_Guest_Database'!F2:F999,A447))</f>
      </c>
      <c r="F447" s="3">
        <f>IF(A447="","",MAX(0,D447-E447))</f>
      </c>
      <c r="G447" s="3">
        <f>IF(A447="","",IFERROR(E447/D447,0))</f>
      </c>
      <c r="H447" s="3">
        <f>IF(A447="","",IF(E447&gt;D447,"חריגת קיבולת",IF(E447=D447,"מלא","תקין")))</f>
      </c>
      <c r="I447" s="11"/>
      <c r="J447" s="11"/>
      <c r="K447" s="11"/>
      <c r="L447" s="11"/>
    </row>
    <row r="448" spans="1:12" x14ac:dyDescent="0.25">
      <c r="A448" s="11"/>
      <c r="B448" s="11"/>
      <c r="C448" s="11"/>
      <c r="D448" s="11"/>
      <c r="E448" s="3">
        <f>IF(A448="","",COUNTIF('02_Guest_Database'!F2:F999,A448))</f>
      </c>
      <c r="F448" s="3">
        <f>IF(A448="","",MAX(0,D448-E448))</f>
      </c>
      <c r="G448" s="3">
        <f>IF(A448="","",IFERROR(E448/D448,0))</f>
      </c>
      <c r="H448" s="3">
        <f>IF(A448="","",IF(E448&gt;D448,"חריגת קיבולת",IF(E448=D448,"מלא","תקין")))</f>
      </c>
      <c r="I448" s="11"/>
      <c r="J448" s="11"/>
      <c r="K448" s="11"/>
      <c r="L448" s="11"/>
    </row>
    <row r="449" spans="1:12" x14ac:dyDescent="0.25">
      <c r="A449" s="11"/>
      <c r="B449" s="11"/>
      <c r="C449" s="11"/>
      <c r="D449" s="11"/>
      <c r="E449" s="3">
        <f>IF(A449="","",COUNTIF('02_Guest_Database'!F2:F999,A449))</f>
      </c>
      <c r="F449" s="3">
        <f>IF(A449="","",MAX(0,D449-E449))</f>
      </c>
      <c r="G449" s="3">
        <f>IF(A449="","",IFERROR(E449/D449,0))</f>
      </c>
      <c r="H449" s="3">
        <f>IF(A449="","",IF(E449&gt;D449,"חריגת קיבולת",IF(E449=D449,"מלא","תקין")))</f>
      </c>
      <c r="I449" s="11"/>
      <c r="J449" s="11"/>
      <c r="K449" s="11"/>
      <c r="L449" s="11"/>
    </row>
    <row r="450" spans="1:12" x14ac:dyDescent="0.25">
      <c r="A450" s="11"/>
      <c r="B450" s="11"/>
      <c r="C450" s="11"/>
      <c r="D450" s="11"/>
      <c r="E450" s="3">
        <f>IF(A450="","",COUNTIF('02_Guest_Database'!F2:F999,A450))</f>
      </c>
      <c r="F450" s="3">
        <f>IF(A450="","",MAX(0,D450-E450))</f>
      </c>
      <c r="G450" s="3">
        <f>IF(A450="","",IFERROR(E450/D450,0))</f>
      </c>
      <c r="H450" s="3">
        <f>IF(A450="","",IF(E450&gt;D450,"חריגת קיבולת",IF(E450=D450,"מלא","תקין")))</f>
      </c>
      <c r="I450" s="11"/>
      <c r="J450" s="11"/>
      <c r="K450" s="11"/>
      <c r="L450" s="11"/>
    </row>
    <row r="451" spans="1:12" x14ac:dyDescent="0.25">
      <c r="A451" s="11"/>
      <c r="B451" s="11"/>
      <c r="C451" s="11"/>
      <c r="D451" s="11"/>
      <c r="E451" s="3">
        <f>IF(A451="","",COUNTIF('02_Guest_Database'!F2:F999,A451))</f>
      </c>
      <c r="F451" s="3">
        <f>IF(A451="","",MAX(0,D451-E451))</f>
      </c>
      <c r="G451" s="3">
        <f>IF(A451="","",IFERROR(E451/D451,0))</f>
      </c>
      <c r="H451" s="3">
        <f>IF(A451="","",IF(E451&gt;D451,"חריגת קיבולת",IF(E451=D451,"מלא","תקין")))</f>
      </c>
      <c r="I451" s="11"/>
      <c r="J451" s="11"/>
      <c r="K451" s="11"/>
      <c r="L451" s="11"/>
    </row>
    <row r="452" spans="1:12" x14ac:dyDescent="0.25">
      <c r="A452" s="11"/>
      <c r="B452" s="11"/>
      <c r="C452" s="11"/>
      <c r="D452" s="11"/>
      <c r="E452" s="3">
        <f>IF(A452="","",COUNTIF('02_Guest_Database'!F2:F999,A452))</f>
      </c>
      <c r="F452" s="3">
        <f>IF(A452="","",MAX(0,D452-E452))</f>
      </c>
      <c r="G452" s="3">
        <f>IF(A452="","",IFERROR(E452/D452,0))</f>
      </c>
      <c r="H452" s="3">
        <f>IF(A452="","",IF(E452&gt;D452,"חריגת קיבולת",IF(E452=D452,"מלא","תקין")))</f>
      </c>
      <c r="I452" s="11"/>
      <c r="J452" s="11"/>
      <c r="K452" s="11"/>
      <c r="L452" s="11"/>
    </row>
    <row r="453" spans="1:12" x14ac:dyDescent="0.25">
      <c r="A453" s="11"/>
      <c r="B453" s="11"/>
      <c r="C453" s="11"/>
      <c r="D453" s="11"/>
      <c r="E453" s="3">
        <f>IF(A453="","",COUNTIF('02_Guest_Database'!F2:F999,A453))</f>
      </c>
      <c r="F453" s="3">
        <f>IF(A453="","",MAX(0,D453-E453))</f>
      </c>
      <c r="G453" s="3">
        <f>IF(A453="","",IFERROR(E453/D453,0))</f>
      </c>
      <c r="H453" s="3">
        <f>IF(A453="","",IF(E453&gt;D453,"חריגת קיבולת",IF(E453=D453,"מלא","תקין")))</f>
      </c>
      <c r="I453" s="11"/>
      <c r="J453" s="11"/>
      <c r="K453" s="11"/>
      <c r="L453" s="11"/>
    </row>
    <row r="454" spans="1:12" x14ac:dyDescent="0.25">
      <c r="A454" s="11"/>
      <c r="B454" s="11"/>
      <c r="C454" s="11"/>
      <c r="D454" s="11"/>
      <c r="E454" s="3">
        <f>IF(A454="","",COUNTIF('02_Guest_Database'!F2:F999,A454))</f>
      </c>
      <c r="F454" s="3">
        <f>IF(A454="","",MAX(0,D454-E454))</f>
      </c>
      <c r="G454" s="3">
        <f>IF(A454="","",IFERROR(E454/D454,0))</f>
      </c>
      <c r="H454" s="3">
        <f>IF(A454="","",IF(E454&gt;D454,"חריגת קיבולת",IF(E454=D454,"מלא","תקין")))</f>
      </c>
      <c r="I454" s="11"/>
      <c r="J454" s="11"/>
      <c r="K454" s="11"/>
      <c r="L454" s="11"/>
    </row>
    <row r="455" spans="1:12" x14ac:dyDescent="0.25">
      <c r="A455" s="11"/>
      <c r="B455" s="11"/>
      <c r="C455" s="11"/>
      <c r="D455" s="11"/>
      <c r="E455" s="3">
        <f>IF(A455="","",COUNTIF('02_Guest_Database'!F2:F999,A455))</f>
      </c>
      <c r="F455" s="3">
        <f>IF(A455="","",MAX(0,D455-E455))</f>
      </c>
      <c r="G455" s="3">
        <f>IF(A455="","",IFERROR(E455/D455,0))</f>
      </c>
      <c r="H455" s="3">
        <f>IF(A455="","",IF(E455&gt;D455,"חריגת קיבולת",IF(E455=D455,"מלא","תקין")))</f>
      </c>
      <c r="I455" s="11"/>
      <c r="J455" s="11"/>
      <c r="K455" s="11"/>
      <c r="L455" s="11"/>
    </row>
    <row r="456" spans="1:12" x14ac:dyDescent="0.25">
      <c r="A456" s="11"/>
      <c r="B456" s="11"/>
      <c r="C456" s="11"/>
      <c r="D456" s="11"/>
      <c r="E456" s="3">
        <f>IF(A456="","",COUNTIF('02_Guest_Database'!F2:F999,A456))</f>
      </c>
      <c r="F456" s="3">
        <f>IF(A456="","",MAX(0,D456-E456))</f>
      </c>
      <c r="G456" s="3">
        <f>IF(A456="","",IFERROR(E456/D456,0))</f>
      </c>
      <c r="H456" s="3">
        <f>IF(A456="","",IF(E456&gt;D456,"חריגת קיבולת",IF(E456=D456,"מלא","תקין")))</f>
      </c>
      <c r="I456" s="11"/>
      <c r="J456" s="11"/>
      <c r="K456" s="11"/>
      <c r="L456" s="11"/>
    </row>
    <row r="457" spans="1:12" x14ac:dyDescent="0.25">
      <c r="A457" s="11"/>
      <c r="B457" s="11"/>
      <c r="C457" s="11"/>
      <c r="D457" s="11"/>
      <c r="E457" s="3">
        <f>IF(A457="","",COUNTIF('02_Guest_Database'!F2:F999,A457))</f>
      </c>
      <c r="F457" s="3">
        <f>IF(A457="","",MAX(0,D457-E457))</f>
      </c>
      <c r="G457" s="3">
        <f>IF(A457="","",IFERROR(E457/D457,0))</f>
      </c>
      <c r="H457" s="3">
        <f>IF(A457="","",IF(E457&gt;D457,"חריגת קיבולת",IF(E457=D457,"מלא","תקין")))</f>
      </c>
      <c r="I457" s="11"/>
      <c r="J457" s="11"/>
      <c r="K457" s="11"/>
      <c r="L457" s="11"/>
    </row>
    <row r="458" spans="1:12" x14ac:dyDescent="0.25">
      <c r="A458" s="11"/>
      <c r="B458" s="11"/>
      <c r="C458" s="11"/>
      <c r="D458" s="11"/>
      <c r="E458" s="3">
        <f>IF(A458="","",COUNTIF('02_Guest_Database'!F2:F999,A458))</f>
      </c>
      <c r="F458" s="3">
        <f>IF(A458="","",MAX(0,D458-E458))</f>
      </c>
      <c r="G458" s="3">
        <f>IF(A458="","",IFERROR(E458/D458,0))</f>
      </c>
      <c r="H458" s="3">
        <f>IF(A458="","",IF(E458&gt;D458,"חריגת קיבולת",IF(E458=D458,"מלא","תקין")))</f>
      </c>
      <c r="I458" s="11"/>
      <c r="J458" s="11"/>
      <c r="K458" s="11"/>
      <c r="L458" s="11"/>
    </row>
    <row r="459" spans="1:12" x14ac:dyDescent="0.25">
      <c r="A459" s="11"/>
      <c r="B459" s="11"/>
      <c r="C459" s="11"/>
      <c r="D459" s="11"/>
      <c r="E459" s="3">
        <f>IF(A459="","",COUNTIF('02_Guest_Database'!F2:F999,A459))</f>
      </c>
      <c r="F459" s="3">
        <f>IF(A459="","",MAX(0,D459-E459))</f>
      </c>
      <c r="G459" s="3">
        <f>IF(A459="","",IFERROR(E459/D459,0))</f>
      </c>
      <c r="H459" s="3">
        <f>IF(A459="","",IF(E459&gt;D459,"חריגת קיבולת",IF(E459=D459,"מלא","תקין")))</f>
      </c>
      <c r="I459" s="11"/>
      <c r="J459" s="11"/>
      <c r="K459" s="11"/>
      <c r="L459" s="11"/>
    </row>
    <row r="460" spans="1:12" x14ac:dyDescent="0.25">
      <c r="A460" s="11"/>
      <c r="B460" s="11"/>
      <c r="C460" s="11"/>
      <c r="D460" s="11"/>
      <c r="E460" s="3">
        <f>IF(A460="","",COUNTIF('02_Guest_Database'!F2:F999,A460))</f>
      </c>
      <c r="F460" s="3">
        <f>IF(A460="","",MAX(0,D460-E460))</f>
      </c>
      <c r="G460" s="3">
        <f>IF(A460="","",IFERROR(E460/D460,0))</f>
      </c>
      <c r="H460" s="3">
        <f>IF(A460="","",IF(E460&gt;D460,"חריגת קיבולת",IF(E460=D460,"מלא","תקין")))</f>
      </c>
      <c r="I460" s="11"/>
      <c r="J460" s="11"/>
      <c r="K460" s="11"/>
      <c r="L460" s="11"/>
    </row>
    <row r="461" spans="1:12" x14ac:dyDescent="0.25">
      <c r="A461" s="11"/>
      <c r="B461" s="11"/>
      <c r="C461" s="11"/>
      <c r="D461" s="11"/>
      <c r="E461" s="3">
        <f>IF(A461="","",COUNTIF('02_Guest_Database'!F2:F999,A461))</f>
      </c>
      <c r="F461" s="3">
        <f>IF(A461="","",MAX(0,D461-E461))</f>
      </c>
      <c r="G461" s="3">
        <f>IF(A461="","",IFERROR(E461/D461,0))</f>
      </c>
      <c r="H461" s="3">
        <f>IF(A461="","",IF(E461&gt;D461,"חריגת קיבולת",IF(E461=D461,"מלא","תקין")))</f>
      </c>
      <c r="I461" s="11"/>
      <c r="J461" s="11"/>
      <c r="K461" s="11"/>
      <c r="L461" s="11"/>
    </row>
    <row r="462" spans="1:12" x14ac:dyDescent="0.25">
      <c r="A462" s="11"/>
      <c r="B462" s="11"/>
      <c r="C462" s="11"/>
      <c r="D462" s="11"/>
      <c r="E462" s="3">
        <f>IF(A462="","",COUNTIF('02_Guest_Database'!F2:F999,A462))</f>
      </c>
      <c r="F462" s="3">
        <f>IF(A462="","",MAX(0,D462-E462))</f>
      </c>
      <c r="G462" s="3">
        <f>IF(A462="","",IFERROR(E462/D462,0))</f>
      </c>
      <c r="H462" s="3">
        <f>IF(A462="","",IF(E462&gt;D462,"חריגת קיבולת",IF(E462=D462,"מלא","תקין")))</f>
      </c>
      <c r="I462" s="11"/>
      <c r="J462" s="11"/>
      <c r="K462" s="11"/>
      <c r="L462" s="11"/>
    </row>
    <row r="463" spans="1:12" x14ac:dyDescent="0.25">
      <c r="A463" s="11"/>
      <c r="B463" s="11"/>
      <c r="C463" s="11"/>
      <c r="D463" s="11"/>
      <c r="E463" s="3">
        <f>IF(A463="","",COUNTIF('02_Guest_Database'!F2:F999,A463))</f>
      </c>
      <c r="F463" s="3">
        <f>IF(A463="","",MAX(0,D463-E463))</f>
      </c>
      <c r="G463" s="3">
        <f>IF(A463="","",IFERROR(E463/D463,0))</f>
      </c>
      <c r="H463" s="3">
        <f>IF(A463="","",IF(E463&gt;D463,"חריגת קיבולת",IF(E463=D463,"מלא","תקין")))</f>
      </c>
      <c r="I463" s="11"/>
      <c r="J463" s="11"/>
      <c r="K463" s="11"/>
      <c r="L463" s="11"/>
    </row>
    <row r="464" spans="1:12" x14ac:dyDescent="0.25">
      <c r="A464" s="11"/>
      <c r="B464" s="11"/>
      <c r="C464" s="11"/>
      <c r="D464" s="11"/>
      <c r="E464" s="3">
        <f>IF(A464="","",COUNTIF('02_Guest_Database'!F2:F999,A464))</f>
      </c>
      <c r="F464" s="3">
        <f>IF(A464="","",MAX(0,D464-E464))</f>
      </c>
      <c r="G464" s="3">
        <f>IF(A464="","",IFERROR(E464/D464,0))</f>
      </c>
      <c r="H464" s="3">
        <f>IF(A464="","",IF(E464&gt;D464,"חריגת קיבולת",IF(E464=D464,"מלא","תקין")))</f>
      </c>
      <c r="I464" s="11"/>
      <c r="J464" s="11"/>
      <c r="K464" s="11"/>
      <c r="L464" s="11"/>
    </row>
    <row r="465" spans="1:12" x14ac:dyDescent="0.25">
      <c r="A465" s="11"/>
      <c r="B465" s="11"/>
      <c r="C465" s="11"/>
      <c r="D465" s="11"/>
      <c r="E465" s="3">
        <f>IF(A465="","",COUNTIF('02_Guest_Database'!F2:F999,A465))</f>
      </c>
      <c r="F465" s="3">
        <f>IF(A465="","",MAX(0,D465-E465))</f>
      </c>
      <c r="G465" s="3">
        <f>IF(A465="","",IFERROR(E465/D465,0))</f>
      </c>
      <c r="H465" s="3">
        <f>IF(A465="","",IF(E465&gt;D465,"חריגת קיבולת",IF(E465=D465,"מלא","תקין")))</f>
      </c>
      <c r="I465" s="11"/>
      <c r="J465" s="11"/>
      <c r="K465" s="11"/>
      <c r="L465" s="11"/>
    </row>
    <row r="466" spans="1:12" x14ac:dyDescent="0.25">
      <c r="A466" s="11"/>
      <c r="B466" s="11"/>
      <c r="C466" s="11"/>
      <c r="D466" s="11"/>
      <c r="E466" s="3">
        <f>IF(A466="","",COUNTIF('02_Guest_Database'!F2:F999,A466))</f>
      </c>
      <c r="F466" s="3">
        <f>IF(A466="","",MAX(0,D466-E466))</f>
      </c>
      <c r="G466" s="3">
        <f>IF(A466="","",IFERROR(E466/D466,0))</f>
      </c>
      <c r="H466" s="3">
        <f>IF(A466="","",IF(E466&gt;D466,"חריגת קיבולת",IF(E466=D466,"מלא","תקין")))</f>
      </c>
      <c r="I466" s="11"/>
      <c r="J466" s="11"/>
      <c r="K466" s="11"/>
      <c r="L466" s="11"/>
    </row>
    <row r="467" spans="1:12" x14ac:dyDescent="0.25">
      <c r="A467" s="11"/>
      <c r="B467" s="11"/>
      <c r="C467" s="11"/>
      <c r="D467" s="11"/>
      <c r="E467" s="3">
        <f>IF(A467="","",COUNTIF('02_Guest_Database'!F2:F999,A467))</f>
      </c>
      <c r="F467" s="3">
        <f>IF(A467="","",MAX(0,D467-E467))</f>
      </c>
      <c r="G467" s="3">
        <f>IF(A467="","",IFERROR(E467/D467,0))</f>
      </c>
      <c r="H467" s="3">
        <f>IF(A467="","",IF(E467&gt;D467,"חריגת קיבולת",IF(E467=D467,"מלא","תקין")))</f>
      </c>
      <c r="I467" s="11"/>
      <c r="J467" s="11"/>
      <c r="K467" s="11"/>
      <c r="L467" s="11"/>
    </row>
    <row r="468" spans="1:12" x14ac:dyDescent="0.25">
      <c r="A468" s="11"/>
      <c r="B468" s="11"/>
      <c r="C468" s="11"/>
      <c r="D468" s="11"/>
      <c r="E468" s="3">
        <f>IF(A468="","",COUNTIF('02_Guest_Database'!F2:F999,A468))</f>
      </c>
      <c r="F468" s="3">
        <f>IF(A468="","",MAX(0,D468-E468))</f>
      </c>
      <c r="G468" s="3">
        <f>IF(A468="","",IFERROR(E468/D468,0))</f>
      </c>
      <c r="H468" s="3">
        <f>IF(A468="","",IF(E468&gt;D468,"חריגת קיבולת",IF(E468=D468,"מלא","תקין")))</f>
      </c>
      <c r="I468" s="11"/>
      <c r="J468" s="11"/>
      <c r="K468" s="11"/>
      <c r="L468" s="11"/>
    </row>
    <row r="469" spans="1:12" x14ac:dyDescent="0.25">
      <c r="A469" s="11"/>
      <c r="B469" s="11"/>
      <c r="C469" s="11"/>
      <c r="D469" s="11"/>
      <c r="E469" s="3">
        <f>IF(A469="","",COUNTIF('02_Guest_Database'!F2:F999,A469))</f>
      </c>
      <c r="F469" s="3">
        <f>IF(A469="","",MAX(0,D469-E469))</f>
      </c>
      <c r="G469" s="3">
        <f>IF(A469="","",IFERROR(E469/D469,0))</f>
      </c>
      <c r="H469" s="3">
        <f>IF(A469="","",IF(E469&gt;D469,"חריגת קיבולת",IF(E469=D469,"מלא","תקין")))</f>
      </c>
      <c r="I469" s="11"/>
      <c r="J469" s="11"/>
      <c r="K469" s="11"/>
      <c r="L469" s="11"/>
    </row>
    <row r="470" spans="1:12" x14ac:dyDescent="0.25">
      <c r="A470" s="11"/>
      <c r="B470" s="11"/>
      <c r="C470" s="11"/>
      <c r="D470" s="11"/>
      <c r="E470" s="3">
        <f>IF(A470="","",COUNTIF('02_Guest_Database'!F2:F999,A470))</f>
      </c>
      <c r="F470" s="3">
        <f>IF(A470="","",MAX(0,D470-E470))</f>
      </c>
      <c r="G470" s="3">
        <f>IF(A470="","",IFERROR(E470/D470,0))</f>
      </c>
      <c r="H470" s="3">
        <f>IF(A470="","",IF(E470&gt;D470,"חריגת קיבולת",IF(E470=D470,"מלא","תקין")))</f>
      </c>
      <c r="I470" s="11"/>
      <c r="J470" s="11"/>
      <c r="K470" s="11"/>
      <c r="L470" s="11"/>
    </row>
    <row r="471" spans="1:12" x14ac:dyDescent="0.25">
      <c r="A471" s="11"/>
      <c r="B471" s="11"/>
      <c r="C471" s="11"/>
      <c r="D471" s="11"/>
      <c r="E471" s="3">
        <f>IF(A471="","",COUNTIF('02_Guest_Database'!F2:F999,A471))</f>
      </c>
      <c r="F471" s="3">
        <f>IF(A471="","",MAX(0,D471-E471))</f>
      </c>
      <c r="G471" s="3">
        <f>IF(A471="","",IFERROR(E471/D471,0))</f>
      </c>
      <c r="H471" s="3">
        <f>IF(A471="","",IF(E471&gt;D471,"חריגת קיבולת",IF(E471=D471,"מלא","תקין")))</f>
      </c>
      <c r="I471" s="11"/>
      <c r="J471" s="11"/>
      <c r="K471" s="11"/>
      <c r="L471" s="11"/>
    </row>
    <row r="472" spans="1:12" x14ac:dyDescent="0.25">
      <c r="A472" s="11"/>
      <c r="B472" s="11"/>
      <c r="C472" s="11"/>
      <c r="D472" s="11"/>
      <c r="E472" s="3">
        <f>IF(A472="","",COUNTIF('02_Guest_Database'!F2:F999,A472))</f>
      </c>
      <c r="F472" s="3">
        <f>IF(A472="","",MAX(0,D472-E472))</f>
      </c>
      <c r="G472" s="3">
        <f>IF(A472="","",IFERROR(E472/D472,0))</f>
      </c>
      <c r="H472" s="3">
        <f>IF(A472="","",IF(E472&gt;D472,"חריגת קיבולת",IF(E472=D472,"מלא","תקין")))</f>
      </c>
      <c r="I472" s="11"/>
      <c r="J472" s="11"/>
      <c r="K472" s="11"/>
      <c r="L472" s="11"/>
    </row>
    <row r="473" spans="1:12" x14ac:dyDescent="0.25">
      <c r="A473" s="11"/>
      <c r="B473" s="11"/>
      <c r="C473" s="11"/>
      <c r="D473" s="11"/>
      <c r="E473" s="3">
        <f>IF(A473="","",COUNTIF('02_Guest_Database'!F2:F999,A473))</f>
      </c>
      <c r="F473" s="3">
        <f>IF(A473="","",MAX(0,D473-E473))</f>
      </c>
      <c r="G473" s="3">
        <f>IF(A473="","",IFERROR(E473/D473,0))</f>
      </c>
      <c r="H473" s="3">
        <f>IF(A473="","",IF(E473&gt;D473,"חריגת קיבולת",IF(E473=D473,"מלא","תקין")))</f>
      </c>
      <c r="I473" s="11"/>
      <c r="J473" s="11"/>
      <c r="K473" s="11"/>
      <c r="L473" s="11"/>
    </row>
    <row r="474" spans="1:12" x14ac:dyDescent="0.25">
      <c r="A474" s="11"/>
      <c r="B474" s="11"/>
      <c r="C474" s="11"/>
      <c r="D474" s="11"/>
      <c r="E474" s="3">
        <f>IF(A474="","",COUNTIF('02_Guest_Database'!F2:F999,A474))</f>
      </c>
      <c r="F474" s="3">
        <f>IF(A474="","",MAX(0,D474-E474))</f>
      </c>
      <c r="G474" s="3">
        <f>IF(A474="","",IFERROR(E474/D474,0))</f>
      </c>
      <c r="H474" s="3">
        <f>IF(A474="","",IF(E474&gt;D474,"חריגת קיבולת",IF(E474=D474,"מלא","תקין")))</f>
      </c>
      <c r="I474" s="11"/>
      <c r="J474" s="11"/>
      <c r="K474" s="11"/>
      <c r="L474" s="11"/>
    </row>
    <row r="475" spans="1:12" x14ac:dyDescent="0.25">
      <c r="A475" s="11"/>
      <c r="B475" s="11"/>
      <c r="C475" s="11"/>
      <c r="D475" s="11"/>
      <c r="E475" s="3">
        <f>IF(A475="","",COUNTIF('02_Guest_Database'!F2:F999,A475))</f>
      </c>
      <c r="F475" s="3">
        <f>IF(A475="","",MAX(0,D475-E475))</f>
      </c>
      <c r="G475" s="3">
        <f>IF(A475="","",IFERROR(E475/D475,0))</f>
      </c>
      <c r="H475" s="3">
        <f>IF(A475="","",IF(E475&gt;D475,"חריגת קיבולת",IF(E475=D475,"מלא","תקין")))</f>
      </c>
      <c r="I475" s="11"/>
      <c r="J475" s="11"/>
      <c r="K475" s="11"/>
      <c r="L475" s="11"/>
    </row>
    <row r="476" spans="1:12" x14ac:dyDescent="0.25">
      <c r="A476" s="11"/>
      <c r="B476" s="11"/>
      <c r="C476" s="11"/>
      <c r="D476" s="11"/>
      <c r="E476" s="3">
        <f>IF(A476="","",COUNTIF('02_Guest_Database'!F2:F999,A476))</f>
      </c>
      <c r="F476" s="3">
        <f>IF(A476="","",MAX(0,D476-E476))</f>
      </c>
      <c r="G476" s="3">
        <f>IF(A476="","",IFERROR(E476/D476,0))</f>
      </c>
      <c r="H476" s="3">
        <f>IF(A476="","",IF(E476&gt;D476,"חריגת קיבולת",IF(E476=D476,"מלא","תקין")))</f>
      </c>
      <c r="I476" s="11"/>
      <c r="J476" s="11"/>
      <c r="K476" s="11"/>
      <c r="L476" s="11"/>
    </row>
    <row r="477" spans="1:12" x14ac:dyDescent="0.25">
      <c r="A477" s="11"/>
      <c r="B477" s="11"/>
      <c r="C477" s="11"/>
      <c r="D477" s="11"/>
      <c r="E477" s="3">
        <f>IF(A477="","",COUNTIF('02_Guest_Database'!F2:F999,A477))</f>
      </c>
      <c r="F477" s="3">
        <f>IF(A477="","",MAX(0,D477-E477))</f>
      </c>
      <c r="G477" s="3">
        <f>IF(A477="","",IFERROR(E477/D477,0))</f>
      </c>
      <c r="H477" s="3">
        <f>IF(A477="","",IF(E477&gt;D477,"חריגת קיבולת",IF(E477=D477,"מלא","תקין")))</f>
      </c>
      <c r="I477" s="11"/>
      <c r="J477" s="11"/>
      <c r="K477" s="11"/>
      <c r="L477" s="11"/>
    </row>
    <row r="478" spans="1:12" x14ac:dyDescent="0.25">
      <c r="A478" s="11"/>
      <c r="B478" s="11"/>
      <c r="C478" s="11"/>
      <c r="D478" s="11"/>
      <c r="E478" s="3">
        <f>IF(A478="","",COUNTIF('02_Guest_Database'!F2:F999,A478))</f>
      </c>
      <c r="F478" s="3">
        <f>IF(A478="","",MAX(0,D478-E478))</f>
      </c>
      <c r="G478" s="3">
        <f>IF(A478="","",IFERROR(E478/D478,0))</f>
      </c>
      <c r="H478" s="3">
        <f>IF(A478="","",IF(E478&gt;D478,"חריגת קיבולת",IF(E478=D478,"מלא","תקין")))</f>
      </c>
      <c r="I478" s="11"/>
      <c r="J478" s="11"/>
      <c r="K478" s="11"/>
      <c r="L478" s="11"/>
    </row>
    <row r="479" spans="1:12" x14ac:dyDescent="0.25">
      <c r="A479" s="11"/>
      <c r="B479" s="11"/>
      <c r="C479" s="11"/>
      <c r="D479" s="11"/>
      <c r="E479" s="3">
        <f>IF(A479="","",COUNTIF('02_Guest_Database'!F2:F999,A479))</f>
      </c>
      <c r="F479" s="3">
        <f>IF(A479="","",MAX(0,D479-E479))</f>
      </c>
      <c r="G479" s="3">
        <f>IF(A479="","",IFERROR(E479/D479,0))</f>
      </c>
      <c r="H479" s="3">
        <f>IF(A479="","",IF(E479&gt;D479,"חריגת קיבולת",IF(E479=D479,"מלא","תקין")))</f>
      </c>
      <c r="I479" s="11"/>
      <c r="J479" s="11"/>
      <c r="K479" s="11"/>
      <c r="L479" s="11"/>
    </row>
    <row r="480" spans="1:12" x14ac:dyDescent="0.25">
      <c r="A480" s="11"/>
      <c r="B480" s="11"/>
      <c r="C480" s="11"/>
      <c r="D480" s="11"/>
      <c r="E480" s="3">
        <f>IF(A480="","",COUNTIF('02_Guest_Database'!F2:F999,A480))</f>
      </c>
      <c r="F480" s="3">
        <f>IF(A480="","",MAX(0,D480-E480))</f>
      </c>
      <c r="G480" s="3">
        <f>IF(A480="","",IFERROR(E480/D480,0))</f>
      </c>
      <c r="H480" s="3">
        <f>IF(A480="","",IF(E480&gt;D480,"חריגת קיבולת",IF(E480=D480,"מלא","תקין")))</f>
      </c>
      <c r="I480" s="11"/>
      <c r="J480" s="11"/>
      <c r="K480" s="11"/>
      <c r="L480" s="11"/>
    </row>
    <row r="481" spans="1:12" x14ac:dyDescent="0.25">
      <c r="A481" s="11"/>
      <c r="B481" s="11"/>
      <c r="C481" s="11"/>
      <c r="D481" s="11"/>
      <c r="E481" s="3">
        <f>IF(A481="","",COUNTIF('02_Guest_Database'!F2:F999,A481))</f>
      </c>
      <c r="F481" s="3">
        <f>IF(A481="","",MAX(0,D481-E481))</f>
      </c>
      <c r="G481" s="3">
        <f>IF(A481="","",IFERROR(E481/D481,0))</f>
      </c>
      <c r="H481" s="3">
        <f>IF(A481="","",IF(E481&gt;D481,"חריגת קיבולת",IF(E481=D481,"מלא","תקין")))</f>
      </c>
      <c r="I481" s="11"/>
      <c r="J481" s="11"/>
      <c r="K481" s="11"/>
      <c r="L481" s="11"/>
    </row>
    <row r="482" spans="1:12" x14ac:dyDescent="0.25">
      <c r="A482" s="11"/>
      <c r="B482" s="11"/>
      <c r="C482" s="11"/>
      <c r="D482" s="11"/>
      <c r="E482" s="3">
        <f>IF(A482="","",COUNTIF('02_Guest_Database'!F2:F999,A482))</f>
      </c>
      <c r="F482" s="3">
        <f>IF(A482="","",MAX(0,D482-E482))</f>
      </c>
      <c r="G482" s="3">
        <f>IF(A482="","",IFERROR(E482/D482,0))</f>
      </c>
      <c r="H482" s="3">
        <f>IF(A482="","",IF(E482&gt;D482,"חריגת קיבולת",IF(E482=D482,"מלא","תקין")))</f>
      </c>
      <c r="I482" s="11"/>
      <c r="J482" s="11"/>
      <c r="K482" s="11"/>
      <c r="L482" s="11"/>
    </row>
    <row r="483" spans="1:12" x14ac:dyDescent="0.25">
      <c r="A483" s="11"/>
      <c r="B483" s="11"/>
      <c r="C483" s="11"/>
      <c r="D483" s="11"/>
      <c r="E483" s="3">
        <f>IF(A483="","",COUNTIF('02_Guest_Database'!F2:F999,A483))</f>
      </c>
      <c r="F483" s="3">
        <f>IF(A483="","",MAX(0,D483-E483))</f>
      </c>
      <c r="G483" s="3">
        <f>IF(A483="","",IFERROR(E483/D483,0))</f>
      </c>
      <c r="H483" s="3">
        <f>IF(A483="","",IF(E483&gt;D483,"חריגת קיבולת",IF(E483=D483,"מלא","תקין")))</f>
      </c>
      <c r="I483" s="11"/>
      <c r="J483" s="11"/>
      <c r="K483" s="11"/>
      <c r="L483" s="11"/>
    </row>
    <row r="484" spans="1:12" x14ac:dyDescent="0.25">
      <c r="A484" s="11"/>
      <c r="B484" s="11"/>
      <c r="C484" s="11"/>
      <c r="D484" s="11"/>
      <c r="E484" s="3">
        <f>IF(A484="","",COUNTIF('02_Guest_Database'!F2:F999,A484))</f>
      </c>
      <c r="F484" s="3">
        <f>IF(A484="","",MAX(0,D484-E484))</f>
      </c>
      <c r="G484" s="3">
        <f>IF(A484="","",IFERROR(E484/D484,0))</f>
      </c>
      <c r="H484" s="3">
        <f>IF(A484="","",IF(E484&gt;D484,"חריגת קיבולת",IF(E484=D484,"מלא","תקין")))</f>
      </c>
      <c r="I484" s="11"/>
      <c r="J484" s="11"/>
      <c r="K484" s="11"/>
      <c r="L484" s="11"/>
    </row>
    <row r="485" spans="1:12" x14ac:dyDescent="0.25">
      <c r="A485" s="11"/>
      <c r="B485" s="11"/>
      <c r="C485" s="11"/>
      <c r="D485" s="11"/>
      <c r="E485" s="3">
        <f>IF(A485="","",COUNTIF('02_Guest_Database'!F2:F999,A485))</f>
      </c>
      <c r="F485" s="3">
        <f>IF(A485="","",MAX(0,D485-E485))</f>
      </c>
      <c r="G485" s="3">
        <f>IF(A485="","",IFERROR(E485/D485,0))</f>
      </c>
      <c r="H485" s="3">
        <f>IF(A485="","",IF(E485&gt;D485,"חריגת קיבולת",IF(E485=D485,"מלא","תקין")))</f>
      </c>
      <c r="I485" s="11"/>
      <c r="J485" s="11"/>
      <c r="K485" s="11"/>
      <c r="L485" s="11"/>
    </row>
    <row r="486" spans="1:12" x14ac:dyDescent="0.25">
      <c r="A486" s="11"/>
      <c r="B486" s="11"/>
      <c r="C486" s="11"/>
      <c r="D486" s="11"/>
      <c r="E486" s="3">
        <f>IF(A486="","",COUNTIF('02_Guest_Database'!F2:F999,A486))</f>
      </c>
      <c r="F486" s="3">
        <f>IF(A486="","",MAX(0,D486-E486))</f>
      </c>
      <c r="G486" s="3">
        <f>IF(A486="","",IFERROR(E486/D486,0))</f>
      </c>
      <c r="H486" s="3">
        <f>IF(A486="","",IF(E486&gt;D486,"חריגת קיבולת",IF(E486=D486,"מלא","תקין")))</f>
      </c>
      <c r="I486" s="11"/>
      <c r="J486" s="11"/>
      <c r="K486" s="11"/>
      <c r="L486" s="11"/>
    </row>
    <row r="487" spans="1:12" x14ac:dyDescent="0.25">
      <c r="A487" s="11"/>
      <c r="B487" s="11"/>
      <c r="C487" s="11"/>
      <c r="D487" s="11"/>
      <c r="E487" s="3">
        <f>IF(A487="","",COUNTIF('02_Guest_Database'!F2:F999,A487))</f>
      </c>
      <c r="F487" s="3">
        <f>IF(A487="","",MAX(0,D487-E487))</f>
      </c>
      <c r="G487" s="3">
        <f>IF(A487="","",IFERROR(E487/D487,0))</f>
      </c>
      <c r="H487" s="3">
        <f>IF(A487="","",IF(E487&gt;D487,"חריגת קיבולת",IF(E487=D487,"מלא","תקין")))</f>
      </c>
      <c r="I487" s="11"/>
      <c r="J487" s="11"/>
      <c r="K487" s="11"/>
      <c r="L487" s="11"/>
    </row>
    <row r="488" spans="1:12" x14ac:dyDescent="0.25">
      <c r="A488" s="11"/>
      <c r="B488" s="11"/>
      <c r="C488" s="11"/>
      <c r="D488" s="11"/>
      <c r="E488" s="3">
        <f>IF(A488="","",COUNTIF('02_Guest_Database'!F2:F999,A488))</f>
      </c>
      <c r="F488" s="3">
        <f>IF(A488="","",MAX(0,D488-E488))</f>
      </c>
      <c r="G488" s="3">
        <f>IF(A488="","",IFERROR(E488/D488,0))</f>
      </c>
      <c r="H488" s="3">
        <f>IF(A488="","",IF(E488&gt;D488,"חריגת קיבולת",IF(E488=D488,"מלא","תקין")))</f>
      </c>
      <c r="I488" s="11"/>
      <c r="J488" s="11"/>
      <c r="K488" s="11"/>
      <c r="L488" s="11"/>
    </row>
    <row r="489" spans="1:12" x14ac:dyDescent="0.25">
      <c r="A489" s="11"/>
      <c r="B489" s="11"/>
      <c r="C489" s="11"/>
      <c r="D489" s="11"/>
      <c r="E489" s="3">
        <f>IF(A489="","",COUNTIF('02_Guest_Database'!F2:F999,A489))</f>
      </c>
      <c r="F489" s="3">
        <f>IF(A489="","",MAX(0,D489-E489))</f>
      </c>
      <c r="G489" s="3">
        <f>IF(A489="","",IFERROR(E489/D489,0))</f>
      </c>
      <c r="H489" s="3">
        <f>IF(A489="","",IF(E489&gt;D489,"חריגת קיבולת",IF(E489=D489,"מלא","תקין")))</f>
      </c>
      <c r="I489" s="11"/>
      <c r="J489" s="11"/>
      <c r="K489" s="11"/>
      <c r="L489" s="11"/>
    </row>
    <row r="490" spans="1:12" x14ac:dyDescent="0.25">
      <c r="A490" s="11"/>
      <c r="B490" s="11"/>
      <c r="C490" s="11"/>
      <c r="D490" s="11"/>
      <c r="E490" s="3">
        <f>IF(A490="","",COUNTIF('02_Guest_Database'!F2:F999,A490))</f>
      </c>
      <c r="F490" s="3">
        <f>IF(A490="","",MAX(0,D490-E490))</f>
      </c>
      <c r="G490" s="3">
        <f>IF(A490="","",IFERROR(E490/D490,0))</f>
      </c>
      <c r="H490" s="3">
        <f>IF(A490="","",IF(E490&gt;D490,"חריגת קיבולת",IF(E490=D490,"מלא","תקין")))</f>
      </c>
      <c r="I490" s="11"/>
      <c r="J490" s="11"/>
      <c r="K490" s="11"/>
      <c r="L490" s="11"/>
    </row>
    <row r="491" spans="1:12" x14ac:dyDescent="0.25">
      <c r="A491" s="11"/>
      <c r="B491" s="11"/>
      <c r="C491" s="11"/>
      <c r="D491" s="11"/>
      <c r="E491" s="3">
        <f>IF(A491="","",COUNTIF('02_Guest_Database'!F2:F999,A491))</f>
      </c>
      <c r="F491" s="3">
        <f>IF(A491="","",MAX(0,D491-E491))</f>
      </c>
      <c r="G491" s="3">
        <f>IF(A491="","",IFERROR(E491/D491,0))</f>
      </c>
      <c r="H491" s="3">
        <f>IF(A491="","",IF(E491&gt;D491,"חריגת קיבולת",IF(E491=D491,"מלא","תקין")))</f>
      </c>
      <c r="I491" s="11"/>
      <c r="J491" s="11"/>
      <c r="K491" s="11"/>
      <c r="L491" s="11"/>
    </row>
    <row r="492" spans="1:12" x14ac:dyDescent="0.25">
      <c r="A492" s="11"/>
      <c r="B492" s="11"/>
      <c r="C492" s="11"/>
      <c r="D492" s="11"/>
      <c r="E492" s="3">
        <f>IF(A492="","",COUNTIF('02_Guest_Database'!F2:F999,A492))</f>
      </c>
      <c r="F492" s="3">
        <f>IF(A492="","",MAX(0,D492-E492))</f>
      </c>
      <c r="G492" s="3">
        <f>IF(A492="","",IFERROR(E492/D492,0))</f>
      </c>
      <c r="H492" s="3">
        <f>IF(A492="","",IF(E492&gt;D492,"חריגת קיבולת",IF(E492=D492,"מלא","תקין")))</f>
      </c>
      <c r="I492" s="11"/>
      <c r="J492" s="11"/>
      <c r="K492" s="11"/>
      <c r="L492" s="11"/>
    </row>
    <row r="493" spans="1:12" x14ac:dyDescent="0.25">
      <c r="A493" s="11"/>
      <c r="B493" s="11"/>
      <c r="C493" s="11"/>
      <c r="D493" s="11"/>
      <c r="E493" s="3">
        <f>IF(A493="","",COUNTIF('02_Guest_Database'!F2:F999,A493))</f>
      </c>
      <c r="F493" s="3">
        <f>IF(A493="","",MAX(0,D493-E493))</f>
      </c>
      <c r="G493" s="3">
        <f>IF(A493="","",IFERROR(E493/D493,0))</f>
      </c>
      <c r="H493" s="3">
        <f>IF(A493="","",IF(E493&gt;D493,"חריגת קיבולת",IF(E493=D493,"מלא","תקין")))</f>
      </c>
      <c r="I493" s="11"/>
      <c r="J493" s="11"/>
      <c r="K493" s="11"/>
      <c r="L493" s="11"/>
    </row>
    <row r="494" spans="1:12" x14ac:dyDescent="0.25">
      <c r="A494" s="11"/>
      <c r="B494" s="11"/>
      <c r="C494" s="11"/>
      <c r="D494" s="11"/>
      <c r="E494" s="3">
        <f>IF(A494="","",COUNTIF('02_Guest_Database'!F2:F999,A494))</f>
      </c>
      <c r="F494" s="3">
        <f>IF(A494="","",MAX(0,D494-E494))</f>
      </c>
      <c r="G494" s="3">
        <f>IF(A494="","",IFERROR(E494/D494,0))</f>
      </c>
      <c r="H494" s="3">
        <f>IF(A494="","",IF(E494&gt;D494,"חריגת קיבולת",IF(E494=D494,"מלא","תקין")))</f>
      </c>
      <c r="I494" s="11"/>
      <c r="J494" s="11"/>
      <c r="K494" s="11"/>
      <c r="L494" s="11"/>
    </row>
    <row r="495" spans="1:12" x14ac:dyDescent="0.25">
      <c r="A495" s="11"/>
      <c r="B495" s="11"/>
      <c r="C495" s="11"/>
      <c r="D495" s="11"/>
      <c r="E495" s="3">
        <f>IF(A495="","",COUNTIF('02_Guest_Database'!F2:F999,A495))</f>
      </c>
      <c r="F495" s="3">
        <f>IF(A495="","",MAX(0,D495-E495))</f>
      </c>
      <c r="G495" s="3">
        <f>IF(A495="","",IFERROR(E495/D495,0))</f>
      </c>
      <c r="H495" s="3">
        <f>IF(A495="","",IF(E495&gt;D495,"חריגת קיבולת",IF(E495=D495,"מלא","תקין")))</f>
      </c>
      <c r="I495" s="11"/>
      <c r="J495" s="11"/>
      <c r="K495" s="11"/>
      <c r="L495" s="11"/>
    </row>
    <row r="496" spans="1:12" x14ac:dyDescent="0.25">
      <c r="A496" s="11"/>
      <c r="B496" s="11"/>
      <c r="C496" s="11"/>
      <c r="D496" s="11"/>
      <c r="E496" s="3">
        <f>IF(A496="","",COUNTIF('02_Guest_Database'!F2:F999,A496))</f>
      </c>
      <c r="F496" s="3">
        <f>IF(A496="","",MAX(0,D496-E496))</f>
      </c>
      <c r="G496" s="3">
        <f>IF(A496="","",IFERROR(E496/D496,0))</f>
      </c>
      <c r="H496" s="3">
        <f>IF(A496="","",IF(E496&gt;D496,"חריגת קיבולת",IF(E496=D496,"מלא","תקין")))</f>
      </c>
      <c r="I496" s="11"/>
      <c r="J496" s="11"/>
      <c r="K496" s="11"/>
      <c r="L496" s="11"/>
    </row>
    <row r="497" spans="1:12" x14ac:dyDescent="0.25">
      <c r="A497" s="11"/>
      <c r="B497" s="11"/>
      <c r="C497" s="11"/>
      <c r="D497" s="11"/>
      <c r="E497" s="3">
        <f>IF(A497="","",COUNTIF('02_Guest_Database'!F2:F999,A497))</f>
      </c>
      <c r="F497" s="3">
        <f>IF(A497="","",MAX(0,D497-E497))</f>
      </c>
      <c r="G497" s="3">
        <f>IF(A497="","",IFERROR(E497/D497,0))</f>
      </c>
      <c r="H497" s="3">
        <f>IF(A497="","",IF(E497&gt;D497,"חריגת קיבולת",IF(E497=D497,"מלא","תקין")))</f>
      </c>
      <c r="I497" s="11"/>
      <c r="J497" s="11"/>
      <c r="K497" s="11"/>
      <c r="L497" s="11"/>
    </row>
    <row r="498" spans="1:12" x14ac:dyDescent="0.25">
      <c r="A498" s="11"/>
      <c r="B498" s="11"/>
      <c r="C498" s="11"/>
      <c r="D498" s="11"/>
      <c r="E498" s="3">
        <f>IF(A498="","",COUNTIF('02_Guest_Database'!F2:F999,A498))</f>
      </c>
      <c r="F498" s="3">
        <f>IF(A498="","",MAX(0,D498-E498))</f>
      </c>
      <c r="G498" s="3">
        <f>IF(A498="","",IFERROR(E498/D498,0))</f>
      </c>
      <c r="H498" s="3">
        <f>IF(A498="","",IF(E498&gt;D498,"חריגת קיבולת",IF(E498=D498,"מלא","תקין")))</f>
      </c>
      <c r="I498" s="11"/>
      <c r="J498" s="11"/>
      <c r="K498" s="11"/>
      <c r="L498" s="11"/>
    </row>
    <row r="499" spans="1:12" x14ac:dyDescent="0.25">
      <c r="A499" s="11"/>
      <c r="B499" s="11"/>
      <c r="C499" s="11"/>
      <c r="D499" s="11"/>
      <c r="E499" s="3">
        <f>IF(A499="","",COUNTIF('02_Guest_Database'!F2:F999,A499))</f>
      </c>
      <c r="F499" s="3">
        <f>IF(A499="","",MAX(0,D499-E499))</f>
      </c>
      <c r="G499" s="3">
        <f>IF(A499="","",IFERROR(E499/D499,0))</f>
      </c>
      <c r="H499" s="3">
        <f>IF(A499="","",IF(E499&gt;D499,"חריגת קיבולת",IF(E499=D499,"מלא","תקין")))</f>
      </c>
      <c r="I499" s="11"/>
      <c r="J499" s="11"/>
      <c r="K499" s="11"/>
      <c r="L499" s="11"/>
    </row>
    <row r="500" spans="1:12" x14ac:dyDescent="0.25">
      <c r="A500" s="11"/>
      <c r="B500" s="11"/>
      <c r="C500" s="11"/>
      <c r="D500" s="11"/>
      <c r="E500" s="3">
        <f>IF(A500="","",COUNTIF('02_Guest_Database'!F2:F999,A500))</f>
      </c>
      <c r="F500" s="3">
        <f>IF(A500="","",MAX(0,D500-E500))</f>
      </c>
      <c r="G500" s="3">
        <f>IF(A500="","",IFERROR(E500/D500,0))</f>
      </c>
      <c r="H500" s="3">
        <f>IF(A500="","",IF(E500&gt;D500,"חריגת קיבולת",IF(E500=D500,"מלא","תקין")))</f>
      </c>
      <c r="I500" s="11"/>
      <c r="J500" s="11"/>
      <c r="K500" s="11"/>
      <c r="L500" s="11"/>
    </row>
    <row r="501" spans="1:12" x14ac:dyDescent="0.25">
      <c r="A501" s="11"/>
      <c r="B501" s="11"/>
      <c r="C501" s="11"/>
      <c r="D501" s="11"/>
      <c r="E501" s="3">
        <f>IF(A501="","",COUNTIF('02_Guest_Database'!F2:F999,A501))</f>
      </c>
      <c r="F501" s="3">
        <f>IF(A501="","",MAX(0,D501-E501))</f>
      </c>
      <c r="G501" s="3">
        <f>IF(A501="","",IFERROR(E501/D501,0))</f>
      </c>
      <c r="H501" s="3">
        <f>IF(A501="","",IF(E501&gt;D501,"חריגת קיבולת",IF(E501=D501,"מלא","תקין")))</f>
      </c>
      <c r="I501" s="11"/>
      <c r="J501" s="11"/>
      <c r="K501" s="11"/>
      <c r="L501" s="11"/>
    </row>
    <row r="502" spans="1:12" x14ac:dyDescent="0.25">
      <c r="A502" s="11"/>
      <c r="B502" s="11"/>
      <c r="C502" s="11"/>
      <c r="D502" s="11"/>
      <c r="E502" s="3">
        <f>IF(A502="","",COUNTIF('02_Guest_Database'!F2:F999,A502))</f>
      </c>
      <c r="F502" s="3">
        <f>IF(A502="","",MAX(0,D502-E502))</f>
      </c>
      <c r="G502" s="3">
        <f>IF(A502="","",IFERROR(E502/D502,0))</f>
      </c>
      <c r="H502" s="3">
        <f>IF(A502="","",IF(E502&gt;D502,"חריגת קיבולת",IF(E502=D502,"מלא","תקין")))</f>
      </c>
      <c r="I502" s="11"/>
      <c r="J502" s="11"/>
      <c r="K502" s="11"/>
      <c r="L502" s="11"/>
    </row>
    <row r="503" spans="1:12" x14ac:dyDescent="0.25">
      <c r="A503" s="11"/>
      <c r="B503" s="11"/>
      <c r="C503" s="11"/>
      <c r="D503" s="11"/>
      <c r="E503" s="3">
        <f>IF(A503="","",COUNTIF('02_Guest_Database'!F2:F999,A503))</f>
      </c>
      <c r="F503" s="3">
        <f>IF(A503="","",MAX(0,D503-E503))</f>
      </c>
      <c r="G503" s="3">
        <f>IF(A503="","",IFERROR(E503/D503,0))</f>
      </c>
      <c r="H503" s="3">
        <f>IF(A503="","",IF(E503&gt;D503,"חריגת קיבולת",IF(E503=D503,"מלא","תקין")))</f>
      </c>
      <c r="I503" s="11"/>
      <c r="J503" s="11"/>
      <c r="K503" s="11"/>
      <c r="L503" s="11"/>
    </row>
    <row r="504" spans="1:12" x14ac:dyDescent="0.25">
      <c r="A504" s="11"/>
      <c r="B504" s="11"/>
      <c r="C504" s="11"/>
      <c r="D504" s="11"/>
      <c r="E504" s="3">
        <f>IF(A504="","",COUNTIF('02_Guest_Database'!F2:F999,A504))</f>
      </c>
      <c r="F504" s="3">
        <f>IF(A504="","",MAX(0,D504-E504))</f>
      </c>
      <c r="G504" s="3">
        <f>IF(A504="","",IFERROR(E504/D504,0))</f>
      </c>
      <c r="H504" s="3">
        <f>IF(A504="","",IF(E504&gt;D504,"חריגת קיבולת",IF(E504=D504,"מלא","תקין")))</f>
      </c>
      <c r="I504" s="11"/>
      <c r="J504" s="11"/>
      <c r="K504" s="11"/>
      <c r="L504" s="11"/>
    </row>
    <row r="505" spans="1:12" x14ac:dyDescent="0.25">
      <c r="A505" s="11"/>
      <c r="B505" s="11"/>
      <c r="C505" s="11"/>
      <c r="D505" s="11"/>
      <c r="E505" s="3">
        <f>IF(A505="","",COUNTIF('02_Guest_Database'!F2:F999,A505))</f>
      </c>
      <c r="F505" s="3">
        <f>IF(A505="","",MAX(0,D505-E505))</f>
      </c>
      <c r="G505" s="3">
        <f>IF(A505="","",IFERROR(E505/D505,0))</f>
      </c>
      <c r="H505" s="3">
        <f>IF(A505="","",IF(E505&gt;D505,"חריגת קיבולת",IF(E505=D505,"מלא","תקין")))</f>
      </c>
      <c r="I505" s="11"/>
      <c r="J505" s="11"/>
      <c r="K505" s="11"/>
      <c r="L505" s="11"/>
    </row>
    <row r="506" spans="1:12" x14ac:dyDescent="0.25">
      <c r="A506" s="11"/>
      <c r="B506" s="11"/>
      <c r="C506" s="11"/>
      <c r="D506" s="11"/>
      <c r="E506" s="3">
        <f>IF(A506="","",COUNTIF('02_Guest_Database'!F2:F999,A506))</f>
      </c>
      <c r="F506" s="3">
        <f>IF(A506="","",MAX(0,D506-E506))</f>
      </c>
      <c r="G506" s="3">
        <f>IF(A506="","",IFERROR(E506/D506,0))</f>
      </c>
      <c r="H506" s="3">
        <f>IF(A506="","",IF(E506&gt;D506,"חריגת קיבולת",IF(E506=D506,"מלא","תקין")))</f>
      </c>
      <c r="I506" s="11"/>
      <c r="J506" s="11"/>
      <c r="K506" s="11"/>
      <c r="L506" s="11"/>
    </row>
    <row r="507" spans="1:12" x14ac:dyDescent="0.25">
      <c r="A507" s="11"/>
      <c r="B507" s="11"/>
      <c r="C507" s="11"/>
      <c r="D507" s="11"/>
      <c r="E507" s="3">
        <f>IF(A507="","",COUNTIF('02_Guest_Database'!F2:F999,A507))</f>
      </c>
      <c r="F507" s="3">
        <f>IF(A507="","",MAX(0,D507-E507))</f>
      </c>
      <c r="G507" s="3">
        <f>IF(A507="","",IFERROR(E507/D507,0))</f>
      </c>
      <c r="H507" s="3">
        <f>IF(A507="","",IF(E507&gt;D507,"חריגת קיבולת",IF(E507=D507,"מלא","תקין")))</f>
      </c>
      <c r="I507" s="11"/>
      <c r="J507" s="11"/>
      <c r="K507" s="11"/>
      <c r="L507" s="11"/>
    </row>
    <row r="508" spans="1:12" x14ac:dyDescent="0.25">
      <c r="A508" s="11"/>
      <c r="B508" s="11"/>
      <c r="C508" s="11"/>
      <c r="D508" s="11"/>
      <c r="E508" s="3">
        <f>IF(A508="","",COUNTIF('02_Guest_Database'!F2:F999,A508))</f>
      </c>
      <c r="F508" s="3">
        <f>IF(A508="","",MAX(0,D508-E508))</f>
      </c>
      <c r="G508" s="3">
        <f>IF(A508="","",IFERROR(E508/D508,0))</f>
      </c>
      <c r="H508" s="3">
        <f>IF(A508="","",IF(E508&gt;D508,"חריגת קיבולת",IF(E508=D508,"מלא","תקין")))</f>
      </c>
      <c r="I508" s="11"/>
      <c r="J508" s="11"/>
      <c r="K508" s="11"/>
      <c r="L508" s="11"/>
    </row>
    <row r="509" spans="1:12" x14ac:dyDescent="0.25">
      <c r="A509" s="11"/>
      <c r="B509" s="11"/>
      <c r="C509" s="11"/>
      <c r="D509" s="11"/>
      <c r="E509" s="3">
        <f>IF(A509="","",COUNTIF('02_Guest_Database'!F2:F999,A509))</f>
      </c>
      <c r="F509" s="3">
        <f>IF(A509="","",MAX(0,D509-E509))</f>
      </c>
      <c r="G509" s="3">
        <f>IF(A509="","",IFERROR(E509/D509,0))</f>
      </c>
      <c r="H509" s="3">
        <f>IF(A509="","",IF(E509&gt;D509,"חריגת קיבולת",IF(E509=D509,"מלא","תקין")))</f>
      </c>
      <c r="I509" s="11"/>
      <c r="J509" s="11"/>
      <c r="K509" s="11"/>
      <c r="L509" s="11"/>
    </row>
    <row r="510" spans="1:12" x14ac:dyDescent="0.25">
      <c r="A510" s="11"/>
      <c r="B510" s="11"/>
      <c r="C510" s="11"/>
      <c r="D510" s="11"/>
      <c r="E510" s="3">
        <f>IF(A510="","",COUNTIF('02_Guest_Database'!F2:F999,A510))</f>
      </c>
      <c r="F510" s="3">
        <f>IF(A510="","",MAX(0,D510-E510))</f>
      </c>
      <c r="G510" s="3">
        <f>IF(A510="","",IFERROR(E510/D510,0))</f>
      </c>
      <c r="H510" s="3">
        <f>IF(A510="","",IF(E510&gt;D510,"חריגת קיבולת",IF(E510=D510,"מלא","תקין")))</f>
      </c>
      <c r="I510" s="11"/>
      <c r="J510" s="11"/>
      <c r="K510" s="11"/>
      <c r="L510" s="11"/>
    </row>
    <row r="511" spans="1:12" x14ac:dyDescent="0.25">
      <c r="A511" s="11"/>
      <c r="B511" s="11"/>
      <c r="C511" s="11"/>
      <c r="D511" s="11"/>
      <c r="E511" s="3">
        <f>IF(A511="","",COUNTIF('02_Guest_Database'!F2:F999,A511))</f>
      </c>
      <c r="F511" s="3">
        <f>IF(A511="","",MAX(0,D511-E511))</f>
      </c>
      <c r="G511" s="3">
        <f>IF(A511="","",IFERROR(E511/D511,0))</f>
      </c>
      <c r="H511" s="3">
        <f>IF(A511="","",IF(E511&gt;D511,"חריגת קיבולת",IF(E511=D511,"מלא","תקין")))</f>
      </c>
      <c r="I511" s="11"/>
      <c r="J511" s="11"/>
      <c r="K511" s="11"/>
      <c r="L511" s="11"/>
    </row>
    <row r="512" spans="1:12" x14ac:dyDescent="0.25">
      <c r="A512" s="11"/>
      <c r="B512" s="11"/>
      <c r="C512" s="11"/>
      <c r="D512" s="11"/>
      <c r="E512" s="3">
        <f>IF(A512="","",COUNTIF('02_Guest_Database'!F2:F999,A512))</f>
      </c>
      <c r="F512" s="3">
        <f>IF(A512="","",MAX(0,D512-E512))</f>
      </c>
      <c r="G512" s="3">
        <f>IF(A512="","",IFERROR(E512/D512,0))</f>
      </c>
      <c r="H512" s="3">
        <f>IF(A512="","",IF(E512&gt;D512,"חריגת קיבולת",IF(E512=D512,"מלא","תקין")))</f>
      </c>
      <c r="I512" s="11"/>
      <c r="J512" s="11"/>
      <c r="K512" s="11"/>
      <c r="L512" s="11"/>
    </row>
    <row r="513" spans="1:12" x14ac:dyDescent="0.25">
      <c r="A513" s="11"/>
      <c r="B513" s="11"/>
      <c r="C513" s="11"/>
      <c r="D513" s="11"/>
      <c r="E513" s="3">
        <f>IF(A513="","",COUNTIF('02_Guest_Database'!F2:F999,A513))</f>
      </c>
      <c r="F513" s="3">
        <f>IF(A513="","",MAX(0,D513-E513))</f>
      </c>
      <c r="G513" s="3">
        <f>IF(A513="","",IFERROR(E513/D513,0))</f>
      </c>
      <c r="H513" s="3">
        <f>IF(A513="","",IF(E513&gt;D513,"חריגת קיבולת",IF(E513=D513,"מלא","תקין")))</f>
      </c>
      <c r="I513" s="11"/>
      <c r="J513" s="11"/>
      <c r="K513" s="11"/>
      <c r="L513" s="11"/>
    </row>
    <row r="514" spans="1:12" x14ac:dyDescent="0.25">
      <c r="A514" s="11"/>
      <c r="B514" s="11"/>
      <c r="C514" s="11"/>
      <c r="D514" s="11"/>
      <c r="E514" s="3">
        <f>IF(A514="","",COUNTIF('02_Guest_Database'!F2:F999,A514))</f>
      </c>
      <c r="F514" s="3">
        <f>IF(A514="","",MAX(0,D514-E514))</f>
      </c>
      <c r="G514" s="3">
        <f>IF(A514="","",IFERROR(E514/D514,0))</f>
      </c>
      <c r="H514" s="3">
        <f>IF(A514="","",IF(E514&gt;D514,"חריגת קיבולת",IF(E514=D514,"מלא","תקין")))</f>
      </c>
      <c r="I514" s="11"/>
      <c r="J514" s="11"/>
      <c r="K514" s="11"/>
      <c r="L514" s="11"/>
    </row>
    <row r="515" spans="1:12" x14ac:dyDescent="0.25">
      <c r="A515" s="11"/>
      <c r="B515" s="11"/>
      <c r="C515" s="11"/>
      <c r="D515" s="11"/>
      <c r="E515" s="3">
        <f>IF(A515="","",COUNTIF('02_Guest_Database'!F2:F999,A515))</f>
      </c>
      <c r="F515" s="3">
        <f>IF(A515="","",MAX(0,D515-E515))</f>
      </c>
      <c r="G515" s="3">
        <f>IF(A515="","",IFERROR(E515/D515,0))</f>
      </c>
      <c r="H515" s="3">
        <f>IF(A515="","",IF(E515&gt;D515,"חריגת קיבולת",IF(E515=D515,"מלא","תקין")))</f>
      </c>
      <c r="I515" s="11"/>
      <c r="J515" s="11"/>
      <c r="K515" s="11"/>
      <c r="L515" s="11"/>
    </row>
    <row r="516" spans="1:12" x14ac:dyDescent="0.25">
      <c r="A516" s="11"/>
      <c r="B516" s="11"/>
      <c r="C516" s="11"/>
      <c r="D516" s="11"/>
      <c r="E516" s="3">
        <f>IF(A516="","",COUNTIF('02_Guest_Database'!F2:F999,A516))</f>
      </c>
      <c r="F516" s="3">
        <f>IF(A516="","",MAX(0,D516-E516))</f>
      </c>
      <c r="G516" s="3">
        <f>IF(A516="","",IFERROR(E516/D516,0))</f>
      </c>
      <c r="H516" s="3">
        <f>IF(A516="","",IF(E516&gt;D516,"חריגת קיבולת",IF(E516=D516,"מלא","תקין")))</f>
      </c>
      <c r="I516" s="11"/>
      <c r="J516" s="11"/>
      <c r="K516" s="11"/>
      <c r="L516" s="11"/>
    </row>
    <row r="517" spans="1:12" x14ac:dyDescent="0.25">
      <c r="A517" s="11"/>
      <c r="B517" s="11"/>
      <c r="C517" s="11"/>
      <c r="D517" s="11"/>
      <c r="E517" s="3">
        <f>IF(A517="","",COUNTIF('02_Guest_Database'!F2:F999,A517))</f>
      </c>
      <c r="F517" s="3">
        <f>IF(A517="","",MAX(0,D517-E517))</f>
      </c>
      <c r="G517" s="3">
        <f>IF(A517="","",IFERROR(E517/D517,0))</f>
      </c>
      <c r="H517" s="3">
        <f>IF(A517="","",IF(E517&gt;D517,"חריגת קיבולת",IF(E517=D517,"מלא","תקין")))</f>
      </c>
      <c r="I517" s="11"/>
      <c r="J517" s="11"/>
      <c r="K517" s="11"/>
      <c r="L517" s="11"/>
    </row>
    <row r="518" spans="1:12" x14ac:dyDescent="0.25">
      <c r="A518" s="11"/>
      <c r="B518" s="11"/>
      <c r="C518" s="11"/>
      <c r="D518" s="11"/>
      <c r="E518" s="3">
        <f>IF(A518="","",COUNTIF('02_Guest_Database'!F2:F999,A518))</f>
      </c>
      <c r="F518" s="3">
        <f>IF(A518="","",MAX(0,D518-E518))</f>
      </c>
      <c r="G518" s="3">
        <f>IF(A518="","",IFERROR(E518/D518,0))</f>
      </c>
      <c r="H518" s="3">
        <f>IF(A518="","",IF(E518&gt;D518,"חריגת קיבולת",IF(E518=D518,"מלא","תקין")))</f>
      </c>
      <c r="I518" s="11"/>
      <c r="J518" s="11"/>
      <c r="K518" s="11"/>
      <c r="L518" s="11"/>
    </row>
    <row r="519" spans="1:12" x14ac:dyDescent="0.25">
      <c r="A519" s="11"/>
      <c r="B519" s="11"/>
      <c r="C519" s="11"/>
      <c r="D519" s="11"/>
      <c r="E519" s="3">
        <f>IF(A519="","",COUNTIF('02_Guest_Database'!F2:F999,A519))</f>
      </c>
      <c r="F519" s="3">
        <f>IF(A519="","",MAX(0,D519-E519))</f>
      </c>
      <c r="G519" s="3">
        <f>IF(A519="","",IFERROR(E519/D519,0))</f>
      </c>
      <c r="H519" s="3">
        <f>IF(A519="","",IF(E519&gt;D519,"חריגת קיבולת",IF(E519=D519,"מלא","תקין")))</f>
      </c>
      <c r="I519" s="11"/>
      <c r="J519" s="11"/>
      <c r="K519" s="11"/>
      <c r="L519" s="11"/>
    </row>
    <row r="520" spans="1:12" x14ac:dyDescent="0.25">
      <c r="A520" s="11"/>
      <c r="B520" s="11"/>
      <c r="C520" s="11"/>
      <c r="D520" s="11"/>
      <c r="E520" s="3">
        <f>IF(A520="","",COUNTIF('02_Guest_Database'!F2:F999,A520))</f>
      </c>
      <c r="F520" s="3">
        <f>IF(A520="","",MAX(0,D520-E520))</f>
      </c>
      <c r="G520" s="3">
        <f>IF(A520="","",IFERROR(E520/D520,0))</f>
      </c>
      <c r="H520" s="3">
        <f>IF(A520="","",IF(E520&gt;D520,"חריגת קיבולת",IF(E520=D520,"מלא","תקין")))</f>
      </c>
      <c r="I520" s="11"/>
      <c r="J520" s="11"/>
      <c r="K520" s="11"/>
      <c r="L520" s="11"/>
    </row>
    <row r="521" spans="1:12" x14ac:dyDescent="0.25">
      <c r="A521" s="11"/>
      <c r="B521" s="11"/>
      <c r="C521" s="11"/>
      <c r="D521" s="11"/>
      <c r="E521" s="3">
        <f>IF(A521="","",COUNTIF('02_Guest_Database'!F2:F999,A521))</f>
      </c>
      <c r="F521" s="3">
        <f>IF(A521="","",MAX(0,D521-E521))</f>
      </c>
      <c r="G521" s="3">
        <f>IF(A521="","",IFERROR(E521/D521,0))</f>
      </c>
      <c r="H521" s="3">
        <f>IF(A521="","",IF(E521&gt;D521,"חריגת קיבולת",IF(E521=D521,"מלא","תקין")))</f>
      </c>
      <c r="I521" s="11"/>
      <c r="J521" s="11"/>
      <c r="K521" s="11"/>
      <c r="L521" s="11"/>
    </row>
    <row r="522" spans="1:12" x14ac:dyDescent="0.25">
      <c r="A522" s="11"/>
      <c r="B522" s="11"/>
      <c r="C522" s="11"/>
      <c r="D522" s="11"/>
      <c r="E522" s="3">
        <f>IF(A522="","",COUNTIF('02_Guest_Database'!F2:F999,A522))</f>
      </c>
      <c r="F522" s="3">
        <f>IF(A522="","",MAX(0,D522-E522))</f>
      </c>
      <c r="G522" s="3">
        <f>IF(A522="","",IFERROR(E522/D522,0))</f>
      </c>
      <c r="H522" s="3">
        <f>IF(A522="","",IF(E522&gt;D522,"חריגת קיבולת",IF(E522=D522,"מלא","תקין")))</f>
      </c>
      <c r="I522" s="11"/>
      <c r="J522" s="11"/>
      <c r="K522" s="11"/>
      <c r="L522" s="11"/>
    </row>
    <row r="523" spans="1:12" x14ac:dyDescent="0.25">
      <c r="A523" s="11"/>
      <c r="B523" s="11"/>
      <c r="C523" s="11"/>
      <c r="D523" s="11"/>
      <c r="E523" s="3">
        <f>IF(A523="","",COUNTIF('02_Guest_Database'!F2:F999,A523))</f>
      </c>
      <c r="F523" s="3">
        <f>IF(A523="","",MAX(0,D523-E523))</f>
      </c>
      <c r="G523" s="3">
        <f>IF(A523="","",IFERROR(E523/D523,0))</f>
      </c>
      <c r="H523" s="3">
        <f>IF(A523="","",IF(E523&gt;D523,"חריגת קיבולת",IF(E523=D523,"מלא","תקין")))</f>
      </c>
      <c r="I523" s="11"/>
      <c r="J523" s="11"/>
      <c r="K523" s="11"/>
      <c r="L523" s="11"/>
    </row>
    <row r="524" spans="1:12" x14ac:dyDescent="0.25">
      <c r="A524" s="11"/>
      <c r="B524" s="11"/>
      <c r="C524" s="11"/>
      <c r="D524" s="11"/>
      <c r="E524" s="3">
        <f>IF(A524="","",COUNTIF('02_Guest_Database'!F2:F999,A524))</f>
      </c>
      <c r="F524" s="3">
        <f>IF(A524="","",MAX(0,D524-E524))</f>
      </c>
      <c r="G524" s="3">
        <f>IF(A524="","",IFERROR(E524/D524,0))</f>
      </c>
      <c r="H524" s="3">
        <f>IF(A524="","",IF(E524&gt;D524,"חריגת קיבולת",IF(E524=D524,"מלא","תקין")))</f>
      </c>
      <c r="I524" s="11"/>
      <c r="J524" s="11"/>
      <c r="K524" s="11"/>
      <c r="L524" s="11"/>
    </row>
    <row r="525" spans="1:12" x14ac:dyDescent="0.25">
      <c r="A525" s="11"/>
      <c r="B525" s="11"/>
      <c r="C525" s="11"/>
      <c r="D525" s="11"/>
      <c r="E525" s="3">
        <f>IF(A525="","",COUNTIF('02_Guest_Database'!F2:F999,A525))</f>
      </c>
      <c r="F525" s="3">
        <f>IF(A525="","",MAX(0,D525-E525))</f>
      </c>
      <c r="G525" s="3">
        <f>IF(A525="","",IFERROR(E525/D525,0))</f>
      </c>
      <c r="H525" s="3">
        <f>IF(A525="","",IF(E525&gt;D525,"חריגת קיבולת",IF(E525=D525,"מלא","תקין")))</f>
      </c>
      <c r="I525" s="11"/>
      <c r="J525" s="11"/>
      <c r="K525" s="11"/>
      <c r="L525" s="11"/>
    </row>
    <row r="526" spans="1:12" x14ac:dyDescent="0.25">
      <c r="A526" s="11"/>
      <c r="B526" s="11"/>
      <c r="C526" s="11"/>
      <c r="D526" s="11"/>
      <c r="E526" s="3">
        <f>IF(A526="","",COUNTIF('02_Guest_Database'!F2:F999,A526))</f>
      </c>
      <c r="F526" s="3">
        <f>IF(A526="","",MAX(0,D526-E526))</f>
      </c>
      <c r="G526" s="3">
        <f>IF(A526="","",IFERROR(E526/D526,0))</f>
      </c>
      <c r="H526" s="3">
        <f>IF(A526="","",IF(E526&gt;D526,"חריגת קיבולת",IF(E526=D526,"מלא","תקין")))</f>
      </c>
      <c r="I526" s="11"/>
      <c r="J526" s="11"/>
      <c r="K526" s="11"/>
      <c r="L526" s="11"/>
    </row>
    <row r="527" spans="1:12" x14ac:dyDescent="0.25">
      <c r="A527" s="11"/>
      <c r="B527" s="11"/>
      <c r="C527" s="11"/>
      <c r="D527" s="11"/>
      <c r="E527" s="3">
        <f>IF(A527="","",COUNTIF('02_Guest_Database'!F2:F999,A527))</f>
      </c>
      <c r="F527" s="3">
        <f>IF(A527="","",MAX(0,D527-E527))</f>
      </c>
      <c r="G527" s="3">
        <f>IF(A527="","",IFERROR(E527/D527,0))</f>
      </c>
      <c r="H527" s="3">
        <f>IF(A527="","",IF(E527&gt;D527,"חריגת קיבולת",IF(E527=D527,"מלא","תקין")))</f>
      </c>
      <c r="I527" s="11"/>
      <c r="J527" s="11"/>
      <c r="K527" s="11"/>
      <c r="L527" s="11"/>
    </row>
    <row r="528" spans="1:12" x14ac:dyDescent="0.25">
      <c r="A528" s="11"/>
      <c r="B528" s="11"/>
      <c r="C528" s="11"/>
      <c r="D528" s="11"/>
      <c r="E528" s="3">
        <f>IF(A528="","",COUNTIF('02_Guest_Database'!F2:F999,A528))</f>
      </c>
      <c r="F528" s="3">
        <f>IF(A528="","",MAX(0,D528-E528))</f>
      </c>
      <c r="G528" s="3">
        <f>IF(A528="","",IFERROR(E528/D528,0))</f>
      </c>
      <c r="H528" s="3">
        <f>IF(A528="","",IF(E528&gt;D528,"חריגת קיבולת",IF(E528=D528,"מלא","תקין")))</f>
      </c>
      <c r="I528" s="11"/>
      <c r="J528" s="11"/>
      <c r="K528" s="11"/>
      <c r="L528" s="11"/>
    </row>
    <row r="529" spans="1:12" x14ac:dyDescent="0.25">
      <c r="A529" s="11"/>
      <c r="B529" s="11"/>
      <c r="C529" s="11"/>
      <c r="D529" s="11"/>
      <c r="E529" s="3">
        <f>IF(A529="","",COUNTIF('02_Guest_Database'!F2:F999,A529))</f>
      </c>
      <c r="F529" s="3">
        <f>IF(A529="","",MAX(0,D529-E529))</f>
      </c>
      <c r="G529" s="3">
        <f>IF(A529="","",IFERROR(E529/D529,0))</f>
      </c>
      <c r="H529" s="3">
        <f>IF(A529="","",IF(E529&gt;D529,"חריגת קיבולת",IF(E529=D529,"מלא","תקין")))</f>
      </c>
      <c r="I529" s="11"/>
      <c r="J529" s="11"/>
      <c r="K529" s="11"/>
      <c r="L529" s="11"/>
    </row>
    <row r="530" spans="1:12" x14ac:dyDescent="0.25">
      <c r="A530" s="11"/>
      <c r="B530" s="11"/>
      <c r="C530" s="11"/>
      <c r="D530" s="11"/>
      <c r="E530" s="3">
        <f>IF(A530="","",COUNTIF('02_Guest_Database'!F2:F999,A530))</f>
      </c>
      <c r="F530" s="3">
        <f>IF(A530="","",MAX(0,D530-E530))</f>
      </c>
      <c r="G530" s="3">
        <f>IF(A530="","",IFERROR(E530/D530,0))</f>
      </c>
      <c r="H530" s="3">
        <f>IF(A530="","",IF(E530&gt;D530,"חריגת קיבולת",IF(E530=D530,"מלא","תקין")))</f>
      </c>
      <c r="I530" s="11"/>
      <c r="J530" s="11"/>
      <c r="K530" s="11"/>
      <c r="L530" s="11"/>
    </row>
    <row r="531" spans="1:12" x14ac:dyDescent="0.25">
      <c r="A531" s="11"/>
      <c r="B531" s="11"/>
      <c r="C531" s="11"/>
      <c r="D531" s="11"/>
      <c r="E531" s="3">
        <f>IF(A531="","",COUNTIF('02_Guest_Database'!F2:F999,A531))</f>
      </c>
      <c r="F531" s="3">
        <f>IF(A531="","",MAX(0,D531-E531))</f>
      </c>
      <c r="G531" s="3">
        <f>IF(A531="","",IFERROR(E531/D531,0))</f>
      </c>
      <c r="H531" s="3">
        <f>IF(A531="","",IF(E531&gt;D531,"חריגת קיבולת",IF(E531=D531,"מלא","תקין")))</f>
      </c>
      <c r="I531" s="11"/>
      <c r="J531" s="11"/>
      <c r="K531" s="11"/>
      <c r="L531" s="11"/>
    </row>
    <row r="532" spans="1:12" x14ac:dyDescent="0.25">
      <c r="A532" s="11"/>
      <c r="B532" s="11"/>
      <c r="C532" s="11"/>
      <c r="D532" s="11"/>
      <c r="E532" s="3">
        <f>IF(A532="","",COUNTIF('02_Guest_Database'!F2:F999,A532))</f>
      </c>
      <c r="F532" s="3">
        <f>IF(A532="","",MAX(0,D532-E532))</f>
      </c>
      <c r="G532" s="3">
        <f>IF(A532="","",IFERROR(E532/D532,0))</f>
      </c>
      <c r="H532" s="3">
        <f>IF(A532="","",IF(E532&gt;D532,"חריגת קיבולת",IF(E532=D532,"מלא","תקין")))</f>
      </c>
      <c r="I532" s="11"/>
      <c r="J532" s="11"/>
      <c r="K532" s="11"/>
      <c r="L532" s="11"/>
    </row>
    <row r="533" spans="1:12" x14ac:dyDescent="0.25">
      <c r="A533" s="11"/>
      <c r="B533" s="11"/>
      <c r="C533" s="11"/>
      <c r="D533" s="11"/>
      <c r="E533" s="3">
        <f>IF(A533="","",COUNTIF('02_Guest_Database'!F2:F999,A533))</f>
      </c>
      <c r="F533" s="3">
        <f>IF(A533="","",MAX(0,D533-E533))</f>
      </c>
      <c r="G533" s="3">
        <f>IF(A533="","",IFERROR(E533/D533,0))</f>
      </c>
      <c r="H533" s="3">
        <f>IF(A533="","",IF(E533&gt;D533,"חריגת קיבולת",IF(E533=D533,"מלא","תקין")))</f>
      </c>
      <c r="I533" s="11"/>
      <c r="J533" s="11"/>
      <c r="K533" s="11"/>
      <c r="L533" s="11"/>
    </row>
    <row r="534" spans="1:12" x14ac:dyDescent="0.25">
      <c r="A534" s="11"/>
      <c r="B534" s="11"/>
      <c r="C534" s="11"/>
      <c r="D534" s="11"/>
      <c r="E534" s="3">
        <f>IF(A534="","",COUNTIF('02_Guest_Database'!F2:F999,A534))</f>
      </c>
      <c r="F534" s="3">
        <f>IF(A534="","",MAX(0,D534-E534))</f>
      </c>
      <c r="G534" s="3">
        <f>IF(A534="","",IFERROR(E534/D534,0))</f>
      </c>
      <c r="H534" s="3">
        <f>IF(A534="","",IF(E534&gt;D534,"חריגת קיבולת",IF(E534=D534,"מלא","תקין")))</f>
      </c>
      <c r="I534" s="11"/>
      <c r="J534" s="11"/>
      <c r="K534" s="11"/>
      <c r="L534" s="11"/>
    </row>
    <row r="535" spans="1:12" x14ac:dyDescent="0.25">
      <c r="A535" s="11"/>
      <c r="B535" s="11"/>
      <c r="C535" s="11"/>
      <c r="D535" s="11"/>
      <c r="E535" s="3">
        <f>IF(A535="","",COUNTIF('02_Guest_Database'!F2:F999,A535))</f>
      </c>
      <c r="F535" s="3">
        <f>IF(A535="","",MAX(0,D535-E535))</f>
      </c>
      <c r="G535" s="3">
        <f>IF(A535="","",IFERROR(E535/D535,0))</f>
      </c>
      <c r="H535" s="3">
        <f>IF(A535="","",IF(E535&gt;D535,"חריגת קיבולת",IF(E535=D535,"מלא","תקין")))</f>
      </c>
      <c r="I535" s="11"/>
      <c r="J535" s="11"/>
      <c r="K535" s="11"/>
      <c r="L535" s="11"/>
    </row>
    <row r="536" spans="1:12" x14ac:dyDescent="0.25">
      <c r="A536" s="11"/>
      <c r="B536" s="11"/>
      <c r="C536" s="11"/>
      <c r="D536" s="11"/>
      <c r="E536" s="3">
        <f>IF(A536="","",COUNTIF('02_Guest_Database'!F2:F999,A536))</f>
      </c>
      <c r="F536" s="3">
        <f>IF(A536="","",MAX(0,D536-E536))</f>
      </c>
      <c r="G536" s="3">
        <f>IF(A536="","",IFERROR(E536/D536,0))</f>
      </c>
      <c r="H536" s="3">
        <f>IF(A536="","",IF(E536&gt;D536,"חריגת קיבולת",IF(E536=D536,"מלא","תקין")))</f>
      </c>
      <c r="I536" s="11"/>
      <c r="J536" s="11"/>
      <c r="K536" s="11"/>
      <c r="L536" s="11"/>
    </row>
    <row r="537" spans="1:12" x14ac:dyDescent="0.25">
      <c r="A537" s="11"/>
      <c r="B537" s="11"/>
      <c r="C537" s="11"/>
      <c r="D537" s="11"/>
      <c r="E537" s="3">
        <f>IF(A537="","",COUNTIF('02_Guest_Database'!F2:F999,A537))</f>
      </c>
      <c r="F537" s="3">
        <f>IF(A537="","",MAX(0,D537-E537))</f>
      </c>
      <c r="G537" s="3">
        <f>IF(A537="","",IFERROR(E537/D537,0))</f>
      </c>
      <c r="H537" s="3">
        <f>IF(A537="","",IF(E537&gt;D537,"חריגת קיבולת",IF(E537=D537,"מלא","תקין")))</f>
      </c>
      <c r="I537" s="11"/>
      <c r="J537" s="11"/>
      <c r="K537" s="11"/>
      <c r="L537" s="11"/>
    </row>
    <row r="538" spans="1:12" x14ac:dyDescent="0.25">
      <c r="A538" s="11"/>
      <c r="B538" s="11"/>
      <c r="C538" s="11"/>
      <c r="D538" s="11"/>
      <c r="E538" s="3">
        <f>IF(A538="","",COUNTIF('02_Guest_Database'!F2:F999,A538))</f>
      </c>
      <c r="F538" s="3">
        <f>IF(A538="","",MAX(0,D538-E538))</f>
      </c>
      <c r="G538" s="3">
        <f>IF(A538="","",IFERROR(E538/D538,0))</f>
      </c>
      <c r="H538" s="3">
        <f>IF(A538="","",IF(E538&gt;D538,"חריגת קיבולת",IF(E538=D538,"מלא","תקין")))</f>
      </c>
      <c r="I538" s="11"/>
      <c r="J538" s="11"/>
      <c r="K538" s="11"/>
      <c r="L538" s="11"/>
    </row>
    <row r="539" spans="1:12" x14ac:dyDescent="0.25">
      <c r="A539" s="11"/>
      <c r="B539" s="11"/>
      <c r="C539" s="11"/>
      <c r="D539" s="11"/>
      <c r="E539" s="3">
        <f>IF(A539="","",COUNTIF('02_Guest_Database'!F2:F999,A539))</f>
      </c>
      <c r="F539" s="3">
        <f>IF(A539="","",MAX(0,D539-E539))</f>
      </c>
      <c r="G539" s="3">
        <f>IF(A539="","",IFERROR(E539/D539,0))</f>
      </c>
      <c r="H539" s="3">
        <f>IF(A539="","",IF(E539&gt;D539,"חריגת קיבולת",IF(E539=D539,"מלא","תקין")))</f>
      </c>
      <c r="I539" s="11"/>
      <c r="J539" s="11"/>
      <c r="K539" s="11"/>
      <c r="L539" s="11"/>
    </row>
    <row r="540" spans="1:12" x14ac:dyDescent="0.25">
      <c r="A540" s="11"/>
      <c r="B540" s="11"/>
      <c r="C540" s="11"/>
      <c r="D540" s="11"/>
      <c r="E540" s="3">
        <f>IF(A540="","",COUNTIF('02_Guest_Database'!F2:F999,A540))</f>
      </c>
      <c r="F540" s="3">
        <f>IF(A540="","",MAX(0,D540-E540))</f>
      </c>
      <c r="G540" s="3">
        <f>IF(A540="","",IFERROR(E540/D540,0))</f>
      </c>
      <c r="H540" s="3">
        <f>IF(A540="","",IF(E540&gt;D540,"חריגת קיבולת",IF(E540=D540,"מלא","תקין")))</f>
      </c>
      <c r="I540" s="11"/>
      <c r="J540" s="11"/>
      <c r="K540" s="11"/>
      <c r="L540" s="11"/>
    </row>
    <row r="541" spans="1:12" x14ac:dyDescent="0.25">
      <c r="A541" s="11"/>
      <c r="B541" s="11"/>
      <c r="C541" s="11"/>
      <c r="D541" s="11"/>
      <c r="E541" s="3">
        <f>IF(A541="","",COUNTIF('02_Guest_Database'!F2:F999,A541))</f>
      </c>
      <c r="F541" s="3">
        <f>IF(A541="","",MAX(0,D541-E541))</f>
      </c>
      <c r="G541" s="3">
        <f>IF(A541="","",IFERROR(E541/D541,0))</f>
      </c>
      <c r="H541" s="3">
        <f>IF(A541="","",IF(E541&gt;D541,"חריגת קיבולת",IF(E541=D541,"מלא","תקין")))</f>
      </c>
      <c r="I541" s="11"/>
      <c r="J541" s="11"/>
      <c r="K541" s="11"/>
      <c r="L541" s="11"/>
    </row>
    <row r="542" spans="1:12" x14ac:dyDescent="0.25">
      <c r="A542" s="11"/>
      <c r="B542" s="11"/>
      <c r="C542" s="11"/>
      <c r="D542" s="11"/>
      <c r="E542" s="3">
        <f>IF(A542="","",COUNTIF('02_Guest_Database'!F2:F999,A542))</f>
      </c>
      <c r="F542" s="3">
        <f>IF(A542="","",MAX(0,D542-E542))</f>
      </c>
      <c r="G542" s="3">
        <f>IF(A542="","",IFERROR(E542/D542,0))</f>
      </c>
      <c r="H542" s="3">
        <f>IF(A542="","",IF(E542&gt;D542,"חריגת קיבולת",IF(E542=D542,"מלא","תקין")))</f>
      </c>
      <c r="I542" s="11"/>
      <c r="J542" s="11"/>
      <c r="K542" s="11"/>
      <c r="L542" s="11"/>
    </row>
    <row r="543" spans="1:12" x14ac:dyDescent="0.25">
      <c r="A543" s="11"/>
      <c r="B543" s="11"/>
      <c r="C543" s="11"/>
      <c r="D543" s="11"/>
      <c r="E543" s="3">
        <f>IF(A543="","",COUNTIF('02_Guest_Database'!F2:F999,A543))</f>
      </c>
      <c r="F543" s="3">
        <f>IF(A543="","",MAX(0,D543-E543))</f>
      </c>
      <c r="G543" s="3">
        <f>IF(A543="","",IFERROR(E543/D543,0))</f>
      </c>
      <c r="H543" s="3">
        <f>IF(A543="","",IF(E543&gt;D543,"חריגת קיבולת",IF(E543=D543,"מלא","תקין")))</f>
      </c>
      <c r="I543" s="11"/>
      <c r="J543" s="11"/>
      <c r="K543" s="11"/>
      <c r="L543" s="11"/>
    </row>
    <row r="544" spans="1:12" x14ac:dyDescent="0.25">
      <c r="A544" s="11"/>
      <c r="B544" s="11"/>
      <c r="C544" s="11"/>
      <c r="D544" s="11"/>
      <c r="E544" s="3">
        <f>IF(A544="","",COUNTIF('02_Guest_Database'!F2:F999,A544))</f>
      </c>
      <c r="F544" s="3">
        <f>IF(A544="","",MAX(0,D544-E544))</f>
      </c>
      <c r="G544" s="3">
        <f>IF(A544="","",IFERROR(E544/D544,0))</f>
      </c>
      <c r="H544" s="3">
        <f>IF(A544="","",IF(E544&gt;D544,"חריגת קיבולת",IF(E544=D544,"מלא","תקין")))</f>
      </c>
      <c r="I544" s="11"/>
      <c r="J544" s="11"/>
      <c r="K544" s="11"/>
      <c r="L544" s="11"/>
    </row>
    <row r="545" spans="1:12" x14ac:dyDescent="0.25">
      <c r="A545" s="11"/>
      <c r="B545" s="11"/>
      <c r="C545" s="11"/>
      <c r="D545" s="11"/>
      <c r="E545" s="3">
        <f>IF(A545="","",COUNTIF('02_Guest_Database'!F2:F999,A545))</f>
      </c>
      <c r="F545" s="3">
        <f>IF(A545="","",MAX(0,D545-E545))</f>
      </c>
      <c r="G545" s="3">
        <f>IF(A545="","",IFERROR(E545/D545,0))</f>
      </c>
      <c r="H545" s="3">
        <f>IF(A545="","",IF(E545&gt;D545,"חריגת קיבולת",IF(E545=D545,"מלא","תקין")))</f>
      </c>
      <c r="I545" s="11"/>
      <c r="J545" s="11"/>
      <c r="K545" s="11"/>
      <c r="L545" s="11"/>
    </row>
    <row r="546" spans="1:12" x14ac:dyDescent="0.25">
      <c r="A546" s="11"/>
      <c r="B546" s="11"/>
      <c r="C546" s="11"/>
      <c r="D546" s="11"/>
      <c r="E546" s="3">
        <f>IF(A546="","",COUNTIF('02_Guest_Database'!F2:F999,A546))</f>
      </c>
      <c r="F546" s="3">
        <f>IF(A546="","",MAX(0,D546-E546))</f>
      </c>
      <c r="G546" s="3">
        <f>IF(A546="","",IFERROR(E546/D546,0))</f>
      </c>
      <c r="H546" s="3">
        <f>IF(A546="","",IF(E546&gt;D546,"חריגת קיבולת",IF(E546=D546,"מלא","תקין")))</f>
      </c>
      <c r="I546" s="11"/>
      <c r="J546" s="11"/>
      <c r="K546" s="11"/>
      <c r="L546" s="11"/>
    </row>
    <row r="547" spans="1:12" x14ac:dyDescent="0.25">
      <c r="A547" s="11"/>
      <c r="B547" s="11"/>
      <c r="C547" s="11"/>
      <c r="D547" s="11"/>
      <c r="E547" s="3">
        <f>IF(A547="","",COUNTIF('02_Guest_Database'!F2:F999,A547))</f>
      </c>
      <c r="F547" s="3">
        <f>IF(A547="","",MAX(0,D547-E547))</f>
      </c>
      <c r="G547" s="3">
        <f>IF(A547="","",IFERROR(E547/D547,0))</f>
      </c>
      <c r="H547" s="3">
        <f>IF(A547="","",IF(E547&gt;D547,"חריגת קיבולת",IF(E547=D547,"מלא","תקין")))</f>
      </c>
      <c r="I547" s="11"/>
      <c r="J547" s="11"/>
      <c r="K547" s="11"/>
      <c r="L547" s="11"/>
    </row>
    <row r="548" spans="1:12" x14ac:dyDescent="0.25">
      <c r="A548" s="11"/>
      <c r="B548" s="11"/>
      <c r="C548" s="11"/>
      <c r="D548" s="11"/>
      <c r="E548" s="3">
        <f>IF(A548="","",COUNTIF('02_Guest_Database'!F2:F999,A548))</f>
      </c>
      <c r="F548" s="3">
        <f>IF(A548="","",MAX(0,D548-E548))</f>
      </c>
      <c r="G548" s="3">
        <f>IF(A548="","",IFERROR(E548/D548,0))</f>
      </c>
      <c r="H548" s="3">
        <f>IF(A548="","",IF(E548&gt;D548,"חריגת קיבולת",IF(E548=D548,"מלא","תקין")))</f>
      </c>
      <c r="I548" s="11"/>
      <c r="J548" s="11"/>
      <c r="K548" s="11"/>
      <c r="L548" s="11"/>
    </row>
    <row r="549" spans="1:12" x14ac:dyDescent="0.25">
      <c r="A549" s="11"/>
      <c r="B549" s="11"/>
      <c r="C549" s="11"/>
      <c r="D549" s="11"/>
      <c r="E549" s="3">
        <f>IF(A549="","",COUNTIF('02_Guest_Database'!F2:F999,A549))</f>
      </c>
      <c r="F549" s="3">
        <f>IF(A549="","",MAX(0,D549-E549))</f>
      </c>
      <c r="G549" s="3">
        <f>IF(A549="","",IFERROR(E549/D549,0))</f>
      </c>
      <c r="H549" s="3">
        <f>IF(A549="","",IF(E549&gt;D549,"חריגת קיבולת",IF(E549=D549,"מלא","תקין")))</f>
      </c>
      <c r="I549" s="11"/>
      <c r="J549" s="11"/>
      <c r="K549" s="11"/>
      <c r="L549" s="11"/>
    </row>
    <row r="550" spans="1:12" x14ac:dyDescent="0.25">
      <c r="A550" s="11"/>
      <c r="B550" s="11"/>
      <c r="C550" s="11"/>
      <c r="D550" s="11"/>
      <c r="E550" s="3">
        <f>IF(A550="","",COUNTIF('02_Guest_Database'!F2:F999,A550))</f>
      </c>
      <c r="F550" s="3">
        <f>IF(A550="","",MAX(0,D550-E550))</f>
      </c>
      <c r="G550" s="3">
        <f>IF(A550="","",IFERROR(E550/D550,0))</f>
      </c>
      <c r="H550" s="3">
        <f>IF(A550="","",IF(E550&gt;D550,"חריגת קיבולת",IF(E550=D550,"מלא","תקין")))</f>
      </c>
      <c r="I550" s="11"/>
      <c r="J550" s="11"/>
      <c r="K550" s="11"/>
      <c r="L550" s="11"/>
    </row>
    <row r="551" spans="1:12" x14ac:dyDescent="0.25">
      <c r="A551" s="11"/>
      <c r="B551" s="11"/>
      <c r="C551" s="11"/>
      <c r="D551" s="11"/>
      <c r="E551" s="3">
        <f>IF(A551="","",COUNTIF('02_Guest_Database'!F2:F999,A551))</f>
      </c>
      <c r="F551" s="3">
        <f>IF(A551="","",MAX(0,D551-E551))</f>
      </c>
      <c r="G551" s="3">
        <f>IF(A551="","",IFERROR(E551/D551,0))</f>
      </c>
      <c r="H551" s="3">
        <f>IF(A551="","",IF(E551&gt;D551,"חריגת קיבולת",IF(E551=D551,"מלא","תקין")))</f>
      </c>
      <c r="I551" s="11"/>
      <c r="J551" s="11"/>
      <c r="K551" s="11"/>
      <c r="L551" s="11"/>
    </row>
    <row r="552" spans="1:12" x14ac:dyDescent="0.25">
      <c r="A552" s="11"/>
      <c r="B552" s="11"/>
      <c r="C552" s="11"/>
      <c r="D552" s="11"/>
      <c r="E552" s="3">
        <f>IF(A552="","",COUNTIF('02_Guest_Database'!F2:F999,A552))</f>
      </c>
      <c r="F552" s="3">
        <f>IF(A552="","",MAX(0,D552-E552))</f>
      </c>
      <c r="G552" s="3">
        <f>IF(A552="","",IFERROR(E552/D552,0))</f>
      </c>
      <c r="H552" s="3">
        <f>IF(A552="","",IF(E552&gt;D552,"חריגת קיבולת",IF(E552=D552,"מלא","תקין")))</f>
      </c>
      <c r="I552" s="11"/>
      <c r="J552" s="11"/>
      <c r="K552" s="11"/>
      <c r="L552" s="11"/>
    </row>
    <row r="553" spans="1:12" x14ac:dyDescent="0.25">
      <c r="A553" s="11"/>
      <c r="B553" s="11"/>
      <c r="C553" s="11"/>
      <c r="D553" s="11"/>
      <c r="E553" s="3">
        <f>IF(A553="","",COUNTIF('02_Guest_Database'!F2:F999,A553))</f>
      </c>
      <c r="F553" s="3">
        <f>IF(A553="","",MAX(0,D553-E553))</f>
      </c>
      <c r="G553" s="3">
        <f>IF(A553="","",IFERROR(E553/D553,0))</f>
      </c>
      <c r="H553" s="3">
        <f>IF(A553="","",IF(E553&gt;D553,"חריגת קיבולת",IF(E553=D553,"מלא","תקין")))</f>
      </c>
      <c r="I553" s="11"/>
      <c r="J553" s="11"/>
      <c r="K553" s="11"/>
      <c r="L553" s="11"/>
    </row>
    <row r="554" spans="1:12" x14ac:dyDescent="0.25">
      <c r="A554" s="11"/>
      <c r="B554" s="11"/>
      <c r="C554" s="11"/>
      <c r="D554" s="11"/>
      <c r="E554" s="3">
        <f>IF(A554="","",COUNTIF('02_Guest_Database'!F2:F999,A554))</f>
      </c>
      <c r="F554" s="3">
        <f>IF(A554="","",MAX(0,D554-E554))</f>
      </c>
      <c r="G554" s="3">
        <f>IF(A554="","",IFERROR(E554/D554,0))</f>
      </c>
      <c r="H554" s="3">
        <f>IF(A554="","",IF(E554&gt;D554,"חריגת קיבולת",IF(E554=D554,"מלא","תקין")))</f>
      </c>
      <c r="I554" s="11"/>
      <c r="J554" s="11"/>
      <c r="K554" s="11"/>
      <c r="L554" s="11"/>
    </row>
    <row r="555" spans="1:12" x14ac:dyDescent="0.25">
      <c r="A555" s="11"/>
      <c r="B555" s="11"/>
      <c r="C555" s="11"/>
      <c r="D555" s="11"/>
      <c r="E555" s="3">
        <f>IF(A555="","",COUNTIF('02_Guest_Database'!F2:F999,A555))</f>
      </c>
      <c r="F555" s="3">
        <f>IF(A555="","",MAX(0,D555-E555))</f>
      </c>
      <c r="G555" s="3">
        <f>IF(A555="","",IFERROR(E555/D555,0))</f>
      </c>
      <c r="H555" s="3">
        <f>IF(A555="","",IF(E555&gt;D555,"חריגת קיבולת",IF(E555=D555,"מלא","תקין")))</f>
      </c>
      <c r="I555" s="11"/>
      <c r="J555" s="11"/>
      <c r="K555" s="11"/>
      <c r="L555" s="11"/>
    </row>
    <row r="556" spans="1:12" x14ac:dyDescent="0.25">
      <c r="A556" s="11"/>
      <c r="B556" s="11"/>
      <c r="C556" s="11"/>
      <c r="D556" s="11"/>
      <c r="E556" s="3">
        <f>IF(A556="","",COUNTIF('02_Guest_Database'!F2:F999,A556))</f>
      </c>
      <c r="F556" s="3">
        <f>IF(A556="","",MAX(0,D556-E556))</f>
      </c>
      <c r="G556" s="3">
        <f>IF(A556="","",IFERROR(E556/D556,0))</f>
      </c>
      <c r="H556" s="3">
        <f>IF(A556="","",IF(E556&gt;D556,"חריגת קיבולת",IF(E556=D556,"מלא","תקין")))</f>
      </c>
      <c r="I556" s="11"/>
      <c r="J556" s="11"/>
      <c r="K556" s="11"/>
      <c r="L556" s="11"/>
    </row>
    <row r="557" spans="1:12" x14ac:dyDescent="0.25">
      <c r="A557" s="11"/>
      <c r="B557" s="11"/>
      <c r="C557" s="11"/>
      <c r="D557" s="11"/>
      <c r="E557" s="3">
        <f>IF(A557="","",COUNTIF('02_Guest_Database'!F2:F999,A557))</f>
      </c>
      <c r="F557" s="3">
        <f>IF(A557="","",MAX(0,D557-E557))</f>
      </c>
      <c r="G557" s="3">
        <f>IF(A557="","",IFERROR(E557/D557,0))</f>
      </c>
      <c r="H557" s="3">
        <f>IF(A557="","",IF(E557&gt;D557,"חריגת קיבולת",IF(E557=D557,"מלא","תקין")))</f>
      </c>
      <c r="I557" s="11"/>
      <c r="J557" s="11"/>
      <c r="K557" s="11"/>
      <c r="L557" s="11"/>
    </row>
    <row r="558" spans="1:12" x14ac:dyDescent="0.25">
      <c r="A558" s="11"/>
      <c r="B558" s="11"/>
      <c r="C558" s="11"/>
      <c r="D558" s="11"/>
      <c r="E558" s="3">
        <f>IF(A558="","",COUNTIF('02_Guest_Database'!F2:F999,A558))</f>
      </c>
      <c r="F558" s="3">
        <f>IF(A558="","",MAX(0,D558-E558))</f>
      </c>
      <c r="G558" s="3">
        <f>IF(A558="","",IFERROR(E558/D558,0))</f>
      </c>
      <c r="H558" s="3">
        <f>IF(A558="","",IF(E558&gt;D558,"חריגת קיבולת",IF(E558=D558,"מלא","תקין")))</f>
      </c>
      <c r="I558" s="11"/>
      <c r="J558" s="11"/>
      <c r="K558" s="11"/>
      <c r="L558" s="11"/>
    </row>
    <row r="559" spans="1:12" x14ac:dyDescent="0.25">
      <c r="A559" s="11"/>
      <c r="B559" s="11"/>
      <c r="C559" s="11"/>
      <c r="D559" s="11"/>
      <c r="E559" s="3">
        <f>IF(A559="","",COUNTIF('02_Guest_Database'!F2:F999,A559))</f>
      </c>
      <c r="F559" s="3">
        <f>IF(A559="","",MAX(0,D559-E559))</f>
      </c>
      <c r="G559" s="3">
        <f>IF(A559="","",IFERROR(E559/D559,0))</f>
      </c>
      <c r="H559" s="3">
        <f>IF(A559="","",IF(E559&gt;D559,"חריגת קיבולת",IF(E559=D559,"מלא","תקין")))</f>
      </c>
      <c r="I559" s="11"/>
      <c r="J559" s="11"/>
      <c r="K559" s="11"/>
      <c r="L559" s="11"/>
    </row>
    <row r="560" spans="1:12" x14ac:dyDescent="0.25">
      <c r="A560" s="11"/>
      <c r="B560" s="11"/>
      <c r="C560" s="11"/>
      <c r="D560" s="11"/>
      <c r="E560" s="3">
        <f>IF(A560="","",COUNTIF('02_Guest_Database'!F2:F999,A560))</f>
      </c>
      <c r="F560" s="3">
        <f>IF(A560="","",MAX(0,D560-E560))</f>
      </c>
      <c r="G560" s="3">
        <f>IF(A560="","",IFERROR(E560/D560,0))</f>
      </c>
      <c r="H560" s="3">
        <f>IF(A560="","",IF(E560&gt;D560,"חריגת קיבולת",IF(E560=D560,"מלא","תקין")))</f>
      </c>
      <c r="I560" s="11"/>
      <c r="J560" s="11"/>
      <c r="K560" s="11"/>
      <c r="L560" s="11"/>
    </row>
    <row r="561" spans="1:12" x14ac:dyDescent="0.25">
      <c r="A561" s="11"/>
      <c r="B561" s="11"/>
      <c r="C561" s="11"/>
      <c r="D561" s="11"/>
      <c r="E561" s="3">
        <f>IF(A561="","",COUNTIF('02_Guest_Database'!F2:F999,A561))</f>
      </c>
      <c r="F561" s="3">
        <f>IF(A561="","",MAX(0,D561-E561))</f>
      </c>
      <c r="G561" s="3">
        <f>IF(A561="","",IFERROR(E561/D561,0))</f>
      </c>
      <c r="H561" s="3">
        <f>IF(A561="","",IF(E561&gt;D561,"חריגת קיבולת",IF(E561=D561,"מלא","תקין")))</f>
      </c>
      <c r="I561" s="11"/>
      <c r="J561" s="11"/>
      <c r="K561" s="11"/>
      <c r="L561" s="11"/>
    </row>
    <row r="562" spans="1:12" x14ac:dyDescent="0.25">
      <c r="A562" s="11"/>
      <c r="B562" s="11"/>
      <c r="C562" s="11"/>
      <c r="D562" s="11"/>
      <c r="E562" s="3">
        <f>IF(A562="","",COUNTIF('02_Guest_Database'!F2:F999,A562))</f>
      </c>
      <c r="F562" s="3">
        <f>IF(A562="","",MAX(0,D562-E562))</f>
      </c>
      <c r="G562" s="3">
        <f>IF(A562="","",IFERROR(E562/D562,0))</f>
      </c>
      <c r="H562" s="3">
        <f>IF(A562="","",IF(E562&gt;D562,"חריגת קיבולת",IF(E562=D562,"מלא","תקין")))</f>
      </c>
      <c r="I562" s="11"/>
      <c r="J562" s="11"/>
      <c r="K562" s="11"/>
      <c r="L562" s="11"/>
    </row>
    <row r="563" spans="1:12" x14ac:dyDescent="0.25">
      <c r="A563" s="11"/>
      <c r="B563" s="11"/>
      <c r="C563" s="11"/>
      <c r="D563" s="11"/>
      <c r="E563" s="3">
        <f>IF(A563="","",COUNTIF('02_Guest_Database'!F2:F999,A563))</f>
      </c>
      <c r="F563" s="3">
        <f>IF(A563="","",MAX(0,D563-E563))</f>
      </c>
      <c r="G563" s="3">
        <f>IF(A563="","",IFERROR(E563/D563,0))</f>
      </c>
      <c r="H563" s="3">
        <f>IF(A563="","",IF(E563&gt;D563,"חריגת קיבולת",IF(E563=D563,"מלא","תקין")))</f>
      </c>
      <c r="I563" s="11"/>
      <c r="J563" s="11"/>
      <c r="K563" s="11"/>
      <c r="L563" s="11"/>
    </row>
    <row r="564" spans="1:12" x14ac:dyDescent="0.25">
      <c r="A564" s="11"/>
      <c r="B564" s="11"/>
      <c r="C564" s="11"/>
      <c r="D564" s="11"/>
      <c r="E564" s="3">
        <f>IF(A564="","",COUNTIF('02_Guest_Database'!F2:F999,A564))</f>
      </c>
      <c r="F564" s="3">
        <f>IF(A564="","",MAX(0,D564-E564))</f>
      </c>
      <c r="G564" s="3">
        <f>IF(A564="","",IFERROR(E564/D564,0))</f>
      </c>
      <c r="H564" s="3">
        <f>IF(A564="","",IF(E564&gt;D564,"חריגת קיבולת",IF(E564=D564,"מלא","תקין")))</f>
      </c>
      <c r="I564" s="11"/>
      <c r="J564" s="11"/>
      <c r="K564" s="11"/>
      <c r="L564" s="11"/>
    </row>
    <row r="565" spans="1:12" x14ac:dyDescent="0.25">
      <c r="A565" s="11"/>
      <c r="B565" s="11"/>
      <c r="C565" s="11"/>
      <c r="D565" s="11"/>
      <c r="E565" s="3">
        <f>IF(A565="","",COUNTIF('02_Guest_Database'!F2:F999,A565))</f>
      </c>
      <c r="F565" s="3">
        <f>IF(A565="","",MAX(0,D565-E565))</f>
      </c>
      <c r="G565" s="3">
        <f>IF(A565="","",IFERROR(E565/D565,0))</f>
      </c>
      <c r="H565" s="3">
        <f>IF(A565="","",IF(E565&gt;D565,"חריגת קיבולת",IF(E565=D565,"מלא","תקין")))</f>
      </c>
      <c r="I565" s="11"/>
      <c r="J565" s="11"/>
      <c r="K565" s="11"/>
      <c r="L565" s="11"/>
    </row>
    <row r="566" spans="1:12" x14ac:dyDescent="0.25">
      <c r="A566" s="11"/>
      <c r="B566" s="11"/>
      <c r="C566" s="11"/>
      <c r="D566" s="11"/>
      <c r="E566" s="3">
        <f>IF(A566="","",COUNTIF('02_Guest_Database'!F2:F999,A566))</f>
      </c>
      <c r="F566" s="3">
        <f>IF(A566="","",MAX(0,D566-E566))</f>
      </c>
      <c r="G566" s="3">
        <f>IF(A566="","",IFERROR(E566/D566,0))</f>
      </c>
      <c r="H566" s="3">
        <f>IF(A566="","",IF(E566&gt;D566,"חריגת קיבולת",IF(E566=D566,"מלא","תקין")))</f>
      </c>
      <c r="I566" s="11"/>
      <c r="J566" s="11"/>
      <c r="K566" s="11"/>
      <c r="L566" s="11"/>
    </row>
    <row r="567" spans="1:12" x14ac:dyDescent="0.25">
      <c r="A567" s="11"/>
      <c r="B567" s="11"/>
      <c r="C567" s="11"/>
      <c r="D567" s="11"/>
      <c r="E567" s="3">
        <f>IF(A567="","",COUNTIF('02_Guest_Database'!F2:F999,A567))</f>
      </c>
      <c r="F567" s="3">
        <f>IF(A567="","",MAX(0,D567-E567))</f>
      </c>
      <c r="G567" s="3">
        <f>IF(A567="","",IFERROR(E567/D567,0))</f>
      </c>
      <c r="H567" s="3">
        <f>IF(A567="","",IF(E567&gt;D567,"חריגת קיבולת",IF(E567=D567,"מלא","תקין")))</f>
      </c>
      <c r="I567" s="11"/>
      <c r="J567" s="11"/>
      <c r="K567" s="11"/>
      <c r="L567" s="11"/>
    </row>
    <row r="568" spans="1:12" x14ac:dyDescent="0.25">
      <c r="A568" s="11"/>
      <c r="B568" s="11"/>
      <c r="C568" s="11"/>
      <c r="D568" s="11"/>
      <c r="E568" s="3">
        <f>IF(A568="","",COUNTIF('02_Guest_Database'!F2:F999,A568))</f>
      </c>
      <c r="F568" s="3">
        <f>IF(A568="","",MAX(0,D568-E568))</f>
      </c>
      <c r="G568" s="3">
        <f>IF(A568="","",IFERROR(E568/D568,0))</f>
      </c>
      <c r="H568" s="3">
        <f>IF(A568="","",IF(E568&gt;D568,"חריגת קיבולת",IF(E568=D568,"מלא","תקין")))</f>
      </c>
      <c r="I568" s="11"/>
      <c r="J568" s="11"/>
      <c r="K568" s="11"/>
      <c r="L568" s="11"/>
    </row>
    <row r="569" spans="1:12" x14ac:dyDescent="0.25">
      <c r="A569" s="11"/>
      <c r="B569" s="11"/>
      <c r="C569" s="11"/>
      <c r="D569" s="11"/>
      <c r="E569" s="3">
        <f>IF(A569="","",COUNTIF('02_Guest_Database'!F2:F999,A569))</f>
      </c>
      <c r="F569" s="3">
        <f>IF(A569="","",MAX(0,D569-E569))</f>
      </c>
      <c r="G569" s="3">
        <f>IF(A569="","",IFERROR(E569/D569,0))</f>
      </c>
      <c r="H569" s="3">
        <f>IF(A569="","",IF(E569&gt;D569,"חריגת קיבולת",IF(E569=D569,"מלא","תקין")))</f>
      </c>
      <c r="I569" s="11"/>
      <c r="J569" s="11"/>
      <c r="K569" s="11"/>
      <c r="L569" s="11"/>
    </row>
    <row r="570" spans="1:12" x14ac:dyDescent="0.25">
      <c r="A570" s="11"/>
      <c r="B570" s="11"/>
      <c r="C570" s="11"/>
      <c r="D570" s="11"/>
      <c r="E570" s="3">
        <f>IF(A570="","",COUNTIF('02_Guest_Database'!F2:F999,A570))</f>
      </c>
      <c r="F570" s="3">
        <f>IF(A570="","",MAX(0,D570-E570))</f>
      </c>
      <c r="G570" s="3">
        <f>IF(A570="","",IFERROR(E570/D570,0))</f>
      </c>
      <c r="H570" s="3">
        <f>IF(A570="","",IF(E570&gt;D570,"חריגת קיבולת",IF(E570=D570,"מלא","תקין")))</f>
      </c>
      <c r="I570" s="11"/>
      <c r="J570" s="11"/>
      <c r="K570" s="11"/>
      <c r="L570" s="11"/>
    </row>
    <row r="571" spans="1:12" x14ac:dyDescent="0.25">
      <c r="A571" s="11"/>
      <c r="B571" s="11"/>
      <c r="C571" s="11"/>
      <c r="D571" s="11"/>
      <c r="E571" s="3">
        <f>IF(A571="","",COUNTIF('02_Guest_Database'!F2:F999,A571))</f>
      </c>
      <c r="F571" s="3">
        <f>IF(A571="","",MAX(0,D571-E571))</f>
      </c>
      <c r="G571" s="3">
        <f>IF(A571="","",IFERROR(E571/D571,0))</f>
      </c>
      <c r="H571" s="3">
        <f>IF(A571="","",IF(E571&gt;D571,"חריגת קיבולת",IF(E571=D571,"מלא","תקין")))</f>
      </c>
      <c r="I571" s="11"/>
      <c r="J571" s="11"/>
      <c r="K571" s="11"/>
      <c r="L571" s="11"/>
    </row>
    <row r="572" spans="1:12" x14ac:dyDescent="0.25">
      <c r="A572" s="11"/>
      <c r="B572" s="11"/>
      <c r="C572" s="11"/>
      <c r="D572" s="11"/>
      <c r="E572" s="3">
        <f>IF(A572="","",COUNTIF('02_Guest_Database'!F2:F999,A572))</f>
      </c>
      <c r="F572" s="3">
        <f>IF(A572="","",MAX(0,D572-E572))</f>
      </c>
      <c r="G572" s="3">
        <f>IF(A572="","",IFERROR(E572/D572,0))</f>
      </c>
      <c r="H572" s="3">
        <f>IF(A572="","",IF(E572&gt;D572,"חריגת קיבולת",IF(E572=D572,"מלא","תקין")))</f>
      </c>
      <c r="I572" s="11"/>
      <c r="J572" s="11"/>
      <c r="K572" s="11"/>
      <c r="L572" s="11"/>
    </row>
    <row r="573" spans="1:12" x14ac:dyDescent="0.25">
      <c r="A573" s="11"/>
      <c r="B573" s="11"/>
      <c r="C573" s="11"/>
      <c r="D573" s="11"/>
      <c r="E573" s="3">
        <f>IF(A573="","",COUNTIF('02_Guest_Database'!F2:F999,A573))</f>
      </c>
      <c r="F573" s="3">
        <f>IF(A573="","",MAX(0,D573-E573))</f>
      </c>
      <c r="G573" s="3">
        <f>IF(A573="","",IFERROR(E573/D573,0))</f>
      </c>
      <c r="H573" s="3">
        <f>IF(A573="","",IF(E573&gt;D573,"חריגת קיבולת",IF(E573=D573,"מלא","תקין")))</f>
      </c>
      <c r="I573" s="11"/>
      <c r="J573" s="11"/>
      <c r="K573" s="11"/>
      <c r="L573" s="11"/>
    </row>
    <row r="574" spans="1:12" x14ac:dyDescent="0.25">
      <c r="A574" s="11"/>
      <c r="B574" s="11"/>
      <c r="C574" s="11"/>
      <c r="D574" s="11"/>
      <c r="E574" s="3">
        <f>IF(A574="","",COUNTIF('02_Guest_Database'!F2:F999,A574))</f>
      </c>
      <c r="F574" s="3">
        <f>IF(A574="","",MAX(0,D574-E574))</f>
      </c>
      <c r="G574" s="3">
        <f>IF(A574="","",IFERROR(E574/D574,0))</f>
      </c>
      <c r="H574" s="3">
        <f>IF(A574="","",IF(E574&gt;D574,"חריגת קיבולת",IF(E574=D574,"מלא","תקין")))</f>
      </c>
      <c r="I574" s="11"/>
      <c r="J574" s="11"/>
      <c r="K574" s="11"/>
      <c r="L574" s="11"/>
    </row>
    <row r="575" spans="1:12" x14ac:dyDescent="0.25">
      <c r="A575" s="11"/>
      <c r="B575" s="11"/>
      <c r="C575" s="11"/>
      <c r="D575" s="11"/>
      <c r="E575" s="3">
        <f>IF(A575="","",COUNTIF('02_Guest_Database'!F2:F999,A575))</f>
      </c>
      <c r="F575" s="3">
        <f>IF(A575="","",MAX(0,D575-E575))</f>
      </c>
      <c r="G575" s="3">
        <f>IF(A575="","",IFERROR(E575/D575,0))</f>
      </c>
      <c r="H575" s="3">
        <f>IF(A575="","",IF(E575&gt;D575,"חריגת קיבולת",IF(E575=D575,"מלא","תקין")))</f>
      </c>
      <c r="I575" s="11"/>
      <c r="J575" s="11"/>
      <c r="K575" s="11"/>
      <c r="L575" s="11"/>
    </row>
    <row r="576" spans="1:12" x14ac:dyDescent="0.25">
      <c r="A576" s="11"/>
      <c r="B576" s="11"/>
      <c r="C576" s="11"/>
      <c r="D576" s="11"/>
      <c r="E576" s="3">
        <f>IF(A576="","",COUNTIF('02_Guest_Database'!F2:F999,A576))</f>
      </c>
      <c r="F576" s="3">
        <f>IF(A576="","",MAX(0,D576-E576))</f>
      </c>
      <c r="G576" s="3">
        <f>IF(A576="","",IFERROR(E576/D576,0))</f>
      </c>
      <c r="H576" s="3">
        <f>IF(A576="","",IF(E576&gt;D576,"חריגת קיבולת",IF(E576=D576,"מלא","תקין")))</f>
      </c>
      <c r="I576" s="11"/>
      <c r="J576" s="11"/>
      <c r="K576" s="11"/>
      <c r="L576" s="11"/>
    </row>
    <row r="577" spans="1:12" x14ac:dyDescent="0.25">
      <c r="A577" s="11"/>
      <c r="B577" s="11"/>
      <c r="C577" s="11"/>
      <c r="D577" s="11"/>
      <c r="E577" s="3">
        <f>IF(A577="","",COUNTIF('02_Guest_Database'!F2:F999,A577))</f>
      </c>
      <c r="F577" s="3">
        <f>IF(A577="","",MAX(0,D577-E577))</f>
      </c>
      <c r="G577" s="3">
        <f>IF(A577="","",IFERROR(E577/D577,0))</f>
      </c>
      <c r="H577" s="3">
        <f>IF(A577="","",IF(E577&gt;D577,"חריגת קיבולת",IF(E577=D577,"מלא","תקין")))</f>
      </c>
      <c r="I577" s="11"/>
      <c r="J577" s="11"/>
      <c r="K577" s="11"/>
      <c r="L577" s="11"/>
    </row>
    <row r="578" spans="1:12" x14ac:dyDescent="0.25">
      <c r="A578" s="11"/>
      <c r="B578" s="11"/>
      <c r="C578" s="11"/>
      <c r="D578" s="11"/>
      <c r="E578" s="3">
        <f>IF(A578="","",COUNTIF('02_Guest_Database'!F2:F999,A578))</f>
      </c>
      <c r="F578" s="3">
        <f>IF(A578="","",MAX(0,D578-E578))</f>
      </c>
      <c r="G578" s="3">
        <f>IF(A578="","",IFERROR(E578/D578,0))</f>
      </c>
      <c r="H578" s="3">
        <f>IF(A578="","",IF(E578&gt;D578,"חריגת קיבולת",IF(E578=D578,"מלא","תקין")))</f>
      </c>
      <c r="I578" s="11"/>
      <c r="J578" s="11"/>
      <c r="K578" s="11"/>
      <c r="L578" s="11"/>
    </row>
    <row r="579" spans="1:12" x14ac:dyDescent="0.25">
      <c r="A579" s="11"/>
      <c r="B579" s="11"/>
      <c r="C579" s="11"/>
      <c r="D579" s="11"/>
      <c r="E579" s="3">
        <f>IF(A579="","",COUNTIF('02_Guest_Database'!F2:F999,A579))</f>
      </c>
      <c r="F579" s="3">
        <f>IF(A579="","",MAX(0,D579-E579))</f>
      </c>
      <c r="G579" s="3">
        <f>IF(A579="","",IFERROR(E579/D579,0))</f>
      </c>
      <c r="H579" s="3">
        <f>IF(A579="","",IF(E579&gt;D579,"חריגת קיבולת",IF(E579=D579,"מלא","תקין")))</f>
      </c>
      <c r="I579" s="11"/>
      <c r="J579" s="11"/>
      <c r="K579" s="11"/>
      <c r="L579" s="11"/>
    </row>
    <row r="580" spans="1:12" x14ac:dyDescent="0.25">
      <c r="A580" s="11"/>
      <c r="B580" s="11"/>
      <c r="C580" s="11"/>
      <c r="D580" s="11"/>
      <c r="E580" s="3">
        <f>IF(A580="","",COUNTIF('02_Guest_Database'!F2:F999,A580))</f>
      </c>
      <c r="F580" s="3">
        <f>IF(A580="","",MAX(0,D580-E580))</f>
      </c>
      <c r="G580" s="3">
        <f>IF(A580="","",IFERROR(E580/D580,0))</f>
      </c>
      <c r="H580" s="3">
        <f>IF(A580="","",IF(E580&gt;D580,"חריגת קיבולת",IF(E580=D580,"מלא","תקין")))</f>
      </c>
      <c r="I580" s="11"/>
      <c r="J580" s="11"/>
      <c r="K580" s="11"/>
      <c r="L580" s="11"/>
    </row>
    <row r="581" spans="1:12" x14ac:dyDescent="0.25">
      <c r="A581" s="11"/>
      <c r="B581" s="11"/>
      <c r="C581" s="11"/>
      <c r="D581" s="11"/>
      <c r="E581" s="3">
        <f>IF(A581="","",COUNTIF('02_Guest_Database'!F2:F999,A581))</f>
      </c>
      <c r="F581" s="3">
        <f>IF(A581="","",MAX(0,D581-E581))</f>
      </c>
      <c r="G581" s="3">
        <f>IF(A581="","",IFERROR(E581/D581,0))</f>
      </c>
      <c r="H581" s="3">
        <f>IF(A581="","",IF(E581&gt;D581,"חריגת קיבולת",IF(E581=D581,"מלא","תקין")))</f>
      </c>
      <c r="I581" s="11"/>
      <c r="J581" s="11"/>
      <c r="K581" s="11"/>
      <c r="L581" s="11"/>
    </row>
    <row r="582" spans="1:12" x14ac:dyDescent="0.25">
      <c r="A582" s="11"/>
      <c r="B582" s="11"/>
      <c r="C582" s="11"/>
      <c r="D582" s="11"/>
      <c r="E582" s="3">
        <f>IF(A582="","",COUNTIF('02_Guest_Database'!F2:F999,A582))</f>
      </c>
      <c r="F582" s="3">
        <f>IF(A582="","",MAX(0,D582-E582))</f>
      </c>
      <c r="G582" s="3">
        <f>IF(A582="","",IFERROR(E582/D582,0))</f>
      </c>
      <c r="H582" s="3">
        <f>IF(A582="","",IF(E582&gt;D582,"חריגת קיבולת",IF(E582=D582,"מלא","תקין")))</f>
      </c>
      <c r="I582" s="11"/>
      <c r="J582" s="11"/>
      <c r="K582" s="11"/>
      <c r="L582" s="11"/>
    </row>
    <row r="583" spans="1:12" x14ac:dyDescent="0.25">
      <c r="A583" s="11"/>
      <c r="B583" s="11"/>
      <c r="C583" s="11"/>
      <c r="D583" s="11"/>
      <c r="E583" s="3">
        <f>IF(A583="","",COUNTIF('02_Guest_Database'!F2:F999,A583))</f>
      </c>
      <c r="F583" s="3">
        <f>IF(A583="","",MAX(0,D583-E583))</f>
      </c>
      <c r="G583" s="3">
        <f>IF(A583="","",IFERROR(E583/D583,0))</f>
      </c>
      <c r="H583" s="3">
        <f>IF(A583="","",IF(E583&gt;D583,"חריגת קיבולת",IF(E583=D583,"מלא","תקין")))</f>
      </c>
      <c r="I583" s="11"/>
      <c r="J583" s="11"/>
      <c r="K583" s="11"/>
      <c r="L583" s="11"/>
    </row>
    <row r="584" spans="1:12" x14ac:dyDescent="0.25">
      <c r="A584" s="11"/>
      <c r="B584" s="11"/>
      <c r="C584" s="11"/>
      <c r="D584" s="11"/>
      <c r="E584" s="3">
        <f>IF(A584="","",COUNTIF('02_Guest_Database'!F2:F999,A584))</f>
      </c>
      <c r="F584" s="3">
        <f>IF(A584="","",MAX(0,D584-E584))</f>
      </c>
      <c r="G584" s="3">
        <f>IF(A584="","",IFERROR(E584/D584,0))</f>
      </c>
      <c r="H584" s="3">
        <f>IF(A584="","",IF(E584&gt;D584,"חריגת קיבולת",IF(E584=D584,"מלא","תקין")))</f>
      </c>
      <c r="I584" s="11"/>
      <c r="J584" s="11"/>
      <c r="K584" s="11"/>
      <c r="L584" s="11"/>
    </row>
    <row r="585" spans="1:12" x14ac:dyDescent="0.25">
      <c r="A585" s="11"/>
      <c r="B585" s="11"/>
      <c r="C585" s="11"/>
      <c r="D585" s="11"/>
      <c r="E585" s="3">
        <f>IF(A585="","",COUNTIF('02_Guest_Database'!F2:F999,A585))</f>
      </c>
      <c r="F585" s="3">
        <f>IF(A585="","",MAX(0,D585-E585))</f>
      </c>
      <c r="G585" s="3">
        <f>IF(A585="","",IFERROR(E585/D585,0))</f>
      </c>
      <c r="H585" s="3">
        <f>IF(A585="","",IF(E585&gt;D585,"חריגת קיבולת",IF(E585=D585,"מלא","תקין")))</f>
      </c>
      <c r="I585" s="11"/>
      <c r="J585" s="11"/>
      <c r="K585" s="11"/>
      <c r="L585" s="11"/>
    </row>
    <row r="586" spans="1:12" x14ac:dyDescent="0.25">
      <c r="A586" s="11"/>
      <c r="B586" s="11"/>
      <c r="C586" s="11"/>
      <c r="D586" s="11"/>
      <c r="E586" s="3">
        <f>IF(A586="","",COUNTIF('02_Guest_Database'!F2:F999,A586))</f>
      </c>
      <c r="F586" s="3">
        <f>IF(A586="","",MAX(0,D586-E586))</f>
      </c>
      <c r="G586" s="3">
        <f>IF(A586="","",IFERROR(E586/D586,0))</f>
      </c>
      <c r="H586" s="3">
        <f>IF(A586="","",IF(E586&gt;D586,"חריגת קיבולת",IF(E586=D586,"מלא","תקין")))</f>
      </c>
      <c r="I586" s="11"/>
      <c r="J586" s="11"/>
      <c r="K586" s="11"/>
      <c r="L586" s="11"/>
    </row>
    <row r="587" spans="1:12" x14ac:dyDescent="0.25">
      <c r="A587" s="11"/>
      <c r="B587" s="11"/>
      <c r="C587" s="11"/>
      <c r="D587" s="11"/>
      <c r="E587" s="3">
        <f>IF(A587="","",COUNTIF('02_Guest_Database'!F2:F999,A587))</f>
      </c>
      <c r="F587" s="3">
        <f>IF(A587="","",MAX(0,D587-E587))</f>
      </c>
      <c r="G587" s="3">
        <f>IF(A587="","",IFERROR(E587/D587,0))</f>
      </c>
      <c r="H587" s="3">
        <f>IF(A587="","",IF(E587&gt;D587,"חריגת קיבולת",IF(E587=D587,"מלא","תקין")))</f>
      </c>
      <c r="I587" s="11"/>
      <c r="J587" s="11"/>
      <c r="K587" s="11"/>
      <c r="L587" s="11"/>
    </row>
    <row r="588" spans="1:12" x14ac:dyDescent="0.25">
      <c r="A588" s="11"/>
      <c r="B588" s="11"/>
      <c r="C588" s="11"/>
      <c r="D588" s="11"/>
      <c r="E588" s="3">
        <f>IF(A588="","",COUNTIF('02_Guest_Database'!F2:F999,A588))</f>
      </c>
      <c r="F588" s="3">
        <f>IF(A588="","",MAX(0,D588-E588))</f>
      </c>
      <c r="G588" s="3">
        <f>IF(A588="","",IFERROR(E588/D588,0))</f>
      </c>
      <c r="H588" s="3">
        <f>IF(A588="","",IF(E588&gt;D588,"חריגת קיבולת",IF(E588=D588,"מלא","תקין")))</f>
      </c>
      <c r="I588" s="11"/>
      <c r="J588" s="11"/>
      <c r="K588" s="11"/>
      <c r="L588" s="11"/>
    </row>
    <row r="589" spans="1:12" x14ac:dyDescent="0.25">
      <c r="A589" s="11"/>
      <c r="B589" s="11"/>
      <c r="C589" s="11"/>
      <c r="D589" s="11"/>
      <c r="E589" s="3">
        <f>IF(A589="","",COUNTIF('02_Guest_Database'!F2:F999,A589))</f>
      </c>
      <c r="F589" s="3">
        <f>IF(A589="","",MAX(0,D589-E589))</f>
      </c>
      <c r="G589" s="3">
        <f>IF(A589="","",IFERROR(E589/D589,0))</f>
      </c>
      <c r="H589" s="3">
        <f>IF(A589="","",IF(E589&gt;D589,"חריגת קיבולת",IF(E589=D589,"מלא","תקין")))</f>
      </c>
      <c r="I589" s="11"/>
      <c r="J589" s="11"/>
      <c r="K589" s="11"/>
      <c r="L589" s="11"/>
    </row>
    <row r="590" spans="1:12" x14ac:dyDescent="0.25">
      <c r="A590" s="11"/>
      <c r="B590" s="11"/>
      <c r="C590" s="11"/>
      <c r="D590" s="11"/>
      <c r="E590" s="3">
        <f>IF(A590="","",COUNTIF('02_Guest_Database'!F2:F999,A590))</f>
      </c>
      <c r="F590" s="3">
        <f>IF(A590="","",MAX(0,D590-E590))</f>
      </c>
      <c r="G590" s="3">
        <f>IF(A590="","",IFERROR(E590/D590,0))</f>
      </c>
      <c r="H590" s="3">
        <f>IF(A590="","",IF(E590&gt;D590,"חריגת קיבולת",IF(E590=D590,"מלא","תקין")))</f>
      </c>
      <c r="I590" s="11"/>
      <c r="J590" s="11"/>
      <c r="K590" s="11"/>
      <c r="L590" s="11"/>
    </row>
    <row r="591" spans="1:12" x14ac:dyDescent="0.25">
      <c r="A591" s="11"/>
      <c r="B591" s="11"/>
      <c r="C591" s="11"/>
      <c r="D591" s="11"/>
      <c r="E591" s="3">
        <f>IF(A591="","",COUNTIF('02_Guest_Database'!F2:F999,A591))</f>
      </c>
      <c r="F591" s="3">
        <f>IF(A591="","",MAX(0,D591-E591))</f>
      </c>
      <c r="G591" s="3">
        <f>IF(A591="","",IFERROR(E591/D591,0))</f>
      </c>
      <c r="H591" s="3">
        <f>IF(A591="","",IF(E591&gt;D591,"חריגת קיבולת",IF(E591=D591,"מלא","תקין")))</f>
      </c>
      <c r="I591" s="11"/>
      <c r="J591" s="11"/>
      <c r="K591" s="11"/>
      <c r="L591" s="11"/>
    </row>
    <row r="592" spans="1:12" x14ac:dyDescent="0.25">
      <c r="A592" s="11"/>
      <c r="B592" s="11"/>
      <c r="C592" s="11"/>
      <c r="D592" s="11"/>
      <c r="E592" s="3">
        <f>IF(A592="","",COUNTIF('02_Guest_Database'!F2:F999,A592))</f>
      </c>
      <c r="F592" s="3">
        <f>IF(A592="","",MAX(0,D592-E592))</f>
      </c>
      <c r="G592" s="3">
        <f>IF(A592="","",IFERROR(E592/D592,0))</f>
      </c>
      <c r="H592" s="3">
        <f>IF(A592="","",IF(E592&gt;D592,"חריגת קיבולת",IF(E592=D592,"מלא","תקין")))</f>
      </c>
      <c r="I592" s="11"/>
      <c r="J592" s="11"/>
      <c r="K592" s="11"/>
      <c r="L592" s="11"/>
    </row>
    <row r="593" spans="1:12" x14ac:dyDescent="0.25">
      <c r="A593" s="11"/>
      <c r="B593" s="11"/>
      <c r="C593" s="11"/>
      <c r="D593" s="11"/>
      <c r="E593" s="3">
        <f>IF(A593="","",COUNTIF('02_Guest_Database'!F2:F999,A593))</f>
      </c>
      <c r="F593" s="3">
        <f>IF(A593="","",MAX(0,D593-E593))</f>
      </c>
      <c r="G593" s="3">
        <f>IF(A593="","",IFERROR(E593/D593,0))</f>
      </c>
      <c r="H593" s="3">
        <f>IF(A593="","",IF(E593&gt;D593,"חריגת קיבולת",IF(E593=D593,"מלא","תקין")))</f>
      </c>
      <c r="I593" s="11"/>
      <c r="J593" s="11"/>
      <c r="K593" s="11"/>
      <c r="L593" s="11"/>
    </row>
    <row r="594" spans="1:12" x14ac:dyDescent="0.25">
      <c r="A594" s="11"/>
      <c r="B594" s="11"/>
      <c r="C594" s="11"/>
      <c r="D594" s="11"/>
      <c r="E594" s="3">
        <f>IF(A594="","",COUNTIF('02_Guest_Database'!F2:F999,A594))</f>
      </c>
      <c r="F594" s="3">
        <f>IF(A594="","",MAX(0,D594-E594))</f>
      </c>
      <c r="G594" s="3">
        <f>IF(A594="","",IFERROR(E594/D594,0))</f>
      </c>
      <c r="H594" s="3">
        <f>IF(A594="","",IF(E594&gt;D594,"חריגת קיבולת",IF(E594=D594,"מלא","תקין")))</f>
      </c>
      <c r="I594" s="11"/>
      <c r="J594" s="11"/>
      <c r="K594" s="11"/>
      <c r="L594" s="11"/>
    </row>
    <row r="595" spans="1:12" x14ac:dyDescent="0.25">
      <c r="A595" s="11"/>
      <c r="B595" s="11"/>
      <c r="C595" s="11"/>
      <c r="D595" s="11"/>
      <c r="E595" s="3">
        <f>IF(A595="","",COUNTIF('02_Guest_Database'!F2:F999,A595))</f>
      </c>
      <c r="F595" s="3">
        <f>IF(A595="","",MAX(0,D595-E595))</f>
      </c>
      <c r="G595" s="3">
        <f>IF(A595="","",IFERROR(E595/D595,0))</f>
      </c>
      <c r="H595" s="3">
        <f>IF(A595="","",IF(E595&gt;D595,"חריגת קיבולת",IF(E595=D595,"מלא","תקין")))</f>
      </c>
      <c r="I595" s="11"/>
      <c r="J595" s="11"/>
      <c r="K595" s="11"/>
      <c r="L595" s="11"/>
    </row>
    <row r="596" spans="1:12" x14ac:dyDescent="0.25">
      <c r="A596" s="11"/>
      <c r="B596" s="11"/>
      <c r="C596" s="11"/>
      <c r="D596" s="11"/>
      <c r="E596" s="3">
        <f>IF(A596="","",COUNTIF('02_Guest_Database'!F2:F999,A596))</f>
      </c>
      <c r="F596" s="3">
        <f>IF(A596="","",MAX(0,D596-E596))</f>
      </c>
      <c r="G596" s="3">
        <f>IF(A596="","",IFERROR(E596/D596,0))</f>
      </c>
      <c r="H596" s="3">
        <f>IF(A596="","",IF(E596&gt;D596,"חריגת קיבולת",IF(E596=D596,"מלא","תקין")))</f>
      </c>
      <c r="I596" s="11"/>
      <c r="J596" s="11"/>
      <c r="K596" s="11"/>
      <c r="L596" s="11"/>
    </row>
    <row r="597" spans="1:12" x14ac:dyDescent="0.25">
      <c r="A597" s="11"/>
      <c r="B597" s="11"/>
      <c r="C597" s="11"/>
      <c r="D597" s="11"/>
      <c r="E597" s="3">
        <f>IF(A597="","",COUNTIF('02_Guest_Database'!F2:F999,A597))</f>
      </c>
      <c r="F597" s="3">
        <f>IF(A597="","",MAX(0,D597-E597))</f>
      </c>
      <c r="G597" s="3">
        <f>IF(A597="","",IFERROR(E597/D597,0))</f>
      </c>
      <c r="H597" s="3">
        <f>IF(A597="","",IF(E597&gt;D597,"חריגת קיבולת",IF(E597=D597,"מלא","תקין")))</f>
      </c>
      <c r="I597" s="11"/>
      <c r="J597" s="11"/>
      <c r="K597" s="11"/>
      <c r="L597" s="11"/>
    </row>
    <row r="598" spans="1:12" x14ac:dyDescent="0.25">
      <c r="A598" s="11"/>
      <c r="B598" s="11"/>
      <c r="C598" s="11"/>
      <c r="D598" s="11"/>
      <c r="E598" s="3">
        <f>IF(A598="","",COUNTIF('02_Guest_Database'!F2:F999,A598))</f>
      </c>
      <c r="F598" s="3">
        <f>IF(A598="","",MAX(0,D598-E598))</f>
      </c>
      <c r="G598" s="3">
        <f>IF(A598="","",IFERROR(E598/D598,0))</f>
      </c>
      <c r="H598" s="3">
        <f>IF(A598="","",IF(E598&gt;D598,"חריגת קיבולת",IF(E598=D598,"מלא","תקין")))</f>
      </c>
      <c r="I598" s="11"/>
      <c r="J598" s="11"/>
      <c r="K598" s="11"/>
      <c r="L598" s="11"/>
    </row>
    <row r="599" spans="1:12" x14ac:dyDescent="0.25">
      <c r="A599" s="11"/>
      <c r="B599" s="11"/>
      <c r="C599" s="11"/>
      <c r="D599" s="11"/>
      <c r="E599" s="3">
        <f>IF(A599="","",COUNTIF('02_Guest_Database'!F2:F999,A599))</f>
      </c>
      <c r="F599" s="3">
        <f>IF(A599="","",MAX(0,D599-E599))</f>
      </c>
      <c r="G599" s="3">
        <f>IF(A599="","",IFERROR(E599/D599,0))</f>
      </c>
      <c r="H599" s="3">
        <f>IF(A599="","",IF(E599&gt;D599,"חריגת קיבולת",IF(E599=D599,"מלא","תקין")))</f>
      </c>
      <c r="I599" s="11"/>
      <c r="J599" s="11"/>
      <c r="K599" s="11"/>
      <c r="L599" s="11"/>
    </row>
    <row r="600" spans="1:12" x14ac:dyDescent="0.25">
      <c r="A600" s="11"/>
      <c r="B600" s="11"/>
      <c r="C600" s="11"/>
      <c r="D600" s="11"/>
      <c r="E600" s="3">
        <f>IF(A600="","",COUNTIF('02_Guest_Database'!F2:F999,A600))</f>
      </c>
      <c r="F600" s="3">
        <f>IF(A600="","",MAX(0,D600-E600))</f>
      </c>
      <c r="G600" s="3">
        <f>IF(A600="","",IFERROR(E600/D600,0))</f>
      </c>
      <c r="H600" s="3">
        <f>IF(A600="","",IF(E600&gt;D600,"חריגת קיבולת",IF(E600=D600,"מלא","תקין")))</f>
      </c>
      <c r="I600" s="11"/>
      <c r="J600" s="11"/>
      <c r="K600" s="11"/>
      <c r="L600" s="11"/>
    </row>
    <row r="601" spans="1:12" x14ac:dyDescent="0.25">
      <c r="A601" s="11"/>
      <c r="B601" s="11"/>
      <c r="C601" s="11"/>
      <c r="D601" s="11"/>
      <c r="E601" s="3">
        <f>IF(A601="","",COUNTIF('02_Guest_Database'!F2:F999,A601))</f>
      </c>
      <c r="F601" s="3">
        <f>IF(A601="","",MAX(0,D601-E601))</f>
      </c>
      <c r="G601" s="3">
        <f>IF(A601="","",IFERROR(E601/D601,0))</f>
      </c>
      <c r="H601" s="3">
        <f>IF(A601="","",IF(E601&gt;D601,"חריגת קיבולת",IF(E601=D601,"מלא","תקין")))</f>
      </c>
      <c r="I601" s="11"/>
      <c r="J601" s="11"/>
      <c r="K601" s="11"/>
      <c r="L601" s="11"/>
    </row>
    <row r="602" spans="1:12" x14ac:dyDescent="0.25">
      <c r="A602" s="11"/>
      <c r="B602" s="11"/>
      <c r="C602" s="11"/>
      <c r="D602" s="11"/>
      <c r="E602" s="3">
        <f>IF(A602="","",COUNTIF('02_Guest_Database'!F2:F999,A602))</f>
      </c>
      <c r="F602" s="3">
        <f>IF(A602="","",MAX(0,D602-E602))</f>
      </c>
      <c r="G602" s="3">
        <f>IF(A602="","",IFERROR(E602/D602,0))</f>
      </c>
      <c r="H602" s="3">
        <f>IF(A602="","",IF(E602&gt;D602,"חריגת קיבולת",IF(E602=D602,"מלא","תקין")))</f>
      </c>
      <c r="I602" s="11"/>
      <c r="J602" s="11"/>
      <c r="K602" s="11"/>
      <c r="L602" s="11"/>
    </row>
    <row r="603" spans="1:12" x14ac:dyDescent="0.25">
      <c r="A603" s="11"/>
      <c r="B603" s="11"/>
      <c r="C603" s="11"/>
      <c r="D603" s="11"/>
      <c r="E603" s="3">
        <f>IF(A603="","",COUNTIF('02_Guest_Database'!F2:F999,A603))</f>
      </c>
      <c r="F603" s="3">
        <f>IF(A603="","",MAX(0,D603-E603))</f>
      </c>
      <c r="G603" s="3">
        <f>IF(A603="","",IFERROR(E603/D603,0))</f>
      </c>
      <c r="H603" s="3">
        <f>IF(A603="","",IF(E603&gt;D603,"חריגת קיבולת",IF(E603=D603,"מלא","תקין")))</f>
      </c>
      <c r="I603" s="11"/>
      <c r="J603" s="11"/>
      <c r="K603" s="11"/>
      <c r="L603" s="11"/>
    </row>
    <row r="604" spans="1:12" x14ac:dyDescent="0.25">
      <c r="A604" s="11"/>
      <c r="B604" s="11"/>
      <c r="C604" s="11"/>
      <c r="D604" s="11"/>
      <c r="E604" s="3">
        <f>IF(A604="","",COUNTIF('02_Guest_Database'!F2:F999,A604))</f>
      </c>
      <c r="F604" s="3">
        <f>IF(A604="","",MAX(0,D604-E604))</f>
      </c>
      <c r="G604" s="3">
        <f>IF(A604="","",IFERROR(E604/D604,0))</f>
      </c>
      <c r="H604" s="3">
        <f>IF(A604="","",IF(E604&gt;D604,"חריגת קיבולת",IF(E604=D604,"מלא","תקין")))</f>
      </c>
      <c r="I604" s="11"/>
      <c r="J604" s="11"/>
      <c r="K604" s="11"/>
      <c r="L604" s="11"/>
    </row>
    <row r="605" spans="1:12" x14ac:dyDescent="0.25">
      <c r="A605" s="11"/>
      <c r="B605" s="11"/>
      <c r="C605" s="11"/>
      <c r="D605" s="11"/>
      <c r="E605" s="3">
        <f>IF(A605="","",COUNTIF('02_Guest_Database'!F2:F999,A605))</f>
      </c>
      <c r="F605" s="3">
        <f>IF(A605="","",MAX(0,D605-E605))</f>
      </c>
      <c r="G605" s="3">
        <f>IF(A605="","",IFERROR(E605/D605,0))</f>
      </c>
      <c r="H605" s="3">
        <f>IF(A605="","",IF(E605&gt;D605,"חריגת קיבולת",IF(E605=D605,"מלא","תקין")))</f>
      </c>
      <c r="I605" s="11"/>
      <c r="J605" s="11"/>
      <c r="K605" s="11"/>
      <c r="L605" s="11"/>
    </row>
    <row r="606" spans="1:12" x14ac:dyDescent="0.25">
      <c r="A606" s="11"/>
      <c r="B606" s="11"/>
      <c r="C606" s="11"/>
      <c r="D606" s="11"/>
      <c r="E606" s="3">
        <f>IF(A606="","",COUNTIF('02_Guest_Database'!F2:F999,A606))</f>
      </c>
      <c r="F606" s="3">
        <f>IF(A606="","",MAX(0,D606-E606))</f>
      </c>
      <c r="G606" s="3">
        <f>IF(A606="","",IFERROR(E606/D606,0))</f>
      </c>
      <c r="H606" s="3">
        <f>IF(A606="","",IF(E606&gt;D606,"חריגת קיבולת",IF(E606=D606,"מלא","תקין")))</f>
      </c>
      <c r="I606" s="11"/>
      <c r="J606" s="11"/>
      <c r="K606" s="11"/>
      <c r="L606" s="11"/>
    </row>
    <row r="607" spans="1:12" x14ac:dyDescent="0.25">
      <c r="A607" s="11"/>
      <c r="B607" s="11"/>
      <c r="C607" s="11"/>
      <c r="D607" s="11"/>
      <c r="E607" s="3">
        <f>IF(A607="","",COUNTIF('02_Guest_Database'!F2:F999,A607))</f>
      </c>
      <c r="F607" s="3">
        <f>IF(A607="","",MAX(0,D607-E607))</f>
      </c>
      <c r="G607" s="3">
        <f>IF(A607="","",IFERROR(E607/D607,0))</f>
      </c>
      <c r="H607" s="3">
        <f>IF(A607="","",IF(E607&gt;D607,"חריגת קיבולת",IF(E607=D607,"מלא","תקין")))</f>
      </c>
      <c r="I607" s="11"/>
      <c r="J607" s="11"/>
      <c r="K607" s="11"/>
      <c r="L607" s="11"/>
    </row>
    <row r="608" spans="1:12" x14ac:dyDescent="0.25">
      <c r="A608" s="11"/>
      <c r="B608" s="11"/>
      <c r="C608" s="11"/>
      <c r="D608" s="11"/>
      <c r="E608" s="3">
        <f>IF(A608="","",COUNTIF('02_Guest_Database'!F2:F999,A608))</f>
      </c>
      <c r="F608" s="3">
        <f>IF(A608="","",MAX(0,D608-E608))</f>
      </c>
      <c r="G608" s="3">
        <f>IF(A608="","",IFERROR(E608/D608,0))</f>
      </c>
      <c r="H608" s="3">
        <f>IF(A608="","",IF(E608&gt;D608,"חריגת קיבולת",IF(E608=D608,"מלא","תקין")))</f>
      </c>
      <c r="I608" s="11"/>
      <c r="J608" s="11"/>
      <c r="K608" s="11"/>
      <c r="L608" s="11"/>
    </row>
    <row r="609" spans="1:12" x14ac:dyDescent="0.25">
      <c r="A609" s="11"/>
      <c r="B609" s="11"/>
      <c r="C609" s="11"/>
      <c r="D609" s="11"/>
      <c r="E609" s="3">
        <f>IF(A609="","",COUNTIF('02_Guest_Database'!F2:F999,A609))</f>
      </c>
      <c r="F609" s="3">
        <f>IF(A609="","",MAX(0,D609-E609))</f>
      </c>
      <c r="G609" s="3">
        <f>IF(A609="","",IFERROR(E609/D609,0))</f>
      </c>
      <c r="H609" s="3">
        <f>IF(A609="","",IF(E609&gt;D609,"חריגת קיבולת",IF(E609=D609,"מלא","תקין")))</f>
      </c>
      <c r="I609" s="11"/>
      <c r="J609" s="11"/>
      <c r="K609" s="11"/>
      <c r="L609" s="11"/>
    </row>
    <row r="610" spans="1:12" x14ac:dyDescent="0.25">
      <c r="A610" s="11"/>
      <c r="B610" s="11"/>
      <c r="C610" s="11"/>
      <c r="D610" s="11"/>
      <c r="E610" s="3">
        <f>IF(A610="","",COUNTIF('02_Guest_Database'!F2:F999,A610))</f>
      </c>
      <c r="F610" s="3">
        <f>IF(A610="","",MAX(0,D610-E610))</f>
      </c>
      <c r="G610" s="3">
        <f>IF(A610="","",IFERROR(E610/D610,0))</f>
      </c>
      <c r="H610" s="3">
        <f>IF(A610="","",IF(E610&gt;D610,"חריגת קיבולת",IF(E610=D610,"מלא","תקין")))</f>
      </c>
      <c r="I610" s="11"/>
      <c r="J610" s="11"/>
      <c r="K610" s="11"/>
      <c r="L610" s="11"/>
    </row>
    <row r="611" spans="1:12" x14ac:dyDescent="0.25">
      <c r="A611" s="11"/>
      <c r="B611" s="11"/>
      <c r="C611" s="11"/>
      <c r="D611" s="11"/>
      <c r="E611" s="3">
        <f>IF(A611="","",COUNTIF('02_Guest_Database'!F2:F999,A611))</f>
      </c>
      <c r="F611" s="3">
        <f>IF(A611="","",MAX(0,D611-E611))</f>
      </c>
      <c r="G611" s="3">
        <f>IF(A611="","",IFERROR(E611/D611,0))</f>
      </c>
      <c r="H611" s="3">
        <f>IF(A611="","",IF(E611&gt;D611,"חריגת קיבולת",IF(E611=D611,"מלא","תקין")))</f>
      </c>
      <c r="I611" s="11"/>
      <c r="J611" s="11"/>
      <c r="K611" s="11"/>
      <c r="L611" s="11"/>
    </row>
    <row r="612" spans="1:12" x14ac:dyDescent="0.25">
      <c r="A612" s="11"/>
      <c r="B612" s="11"/>
      <c r="C612" s="11"/>
      <c r="D612" s="11"/>
      <c r="E612" s="3">
        <f>IF(A612="","",COUNTIF('02_Guest_Database'!F2:F999,A612))</f>
      </c>
      <c r="F612" s="3">
        <f>IF(A612="","",MAX(0,D612-E612))</f>
      </c>
      <c r="G612" s="3">
        <f>IF(A612="","",IFERROR(E612/D612,0))</f>
      </c>
      <c r="H612" s="3">
        <f>IF(A612="","",IF(E612&gt;D612,"חריגת קיבולת",IF(E612=D612,"מלא","תקין")))</f>
      </c>
      <c r="I612" s="11"/>
      <c r="J612" s="11"/>
      <c r="K612" s="11"/>
      <c r="L612" s="11"/>
    </row>
    <row r="613" spans="1:12" x14ac:dyDescent="0.25">
      <c r="A613" s="11"/>
      <c r="B613" s="11"/>
      <c r="C613" s="11"/>
      <c r="D613" s="11"/>
      <c r="E613" s="3">
        <f>IF(A613="","",COUNTIF('02_Guest_Database'!F2:F999,A613))</f>
      </c>
      <c r="F613" s="3">
        <f>IF(A613="","",MAX(0,D613-E613))</f>
      </c>
      <c r="G613" s="3">
        <f>IF(A613="","",IFERROR(E613/D613,0))</f>
      </c>
      <c r="H613" s="3">
        <f>IF(A613="","",IF(E613&gt;D613,"חריגת קיבולת",IF(E613=D613,"מלא","תקין")))</f>
      </c>
      <c r="I613" s="11"/>
      <c r="J613" s="11"/>
      <c r="K613" s="11"/>
      <c r="L613" s="11"/>
    </row>
    <row r="614" spans="1:12" x14ac:dyDescent="0.25">
      <c r="A614" s="11"/>
      <c r="B614" s="11"/>
      <c r="C614" s="11"/>
      <c r="D614" s="11"/>
      <c r="E614" s="3">
        <f>IF(A614="","",COUNTIF('02_Guest_Database'!F2:F999,A614))</f>
      </c>
      <c r="F614" s="3">
        <f>IF(A614="","",MAX(0,D614-E614))</f>
      </c>
      <c r="G614" s="3">
        <f>IF(A614="","",IFERROR(E614/D614,0))</f>
      </c>
      <c r="H614" s="3">
        <f>IF(A614="","",IF(E614&gt;D614,"חריגת קיבולת",IF(E614=D614,"מלא","תקין")))</f>
      </c>
      <c r="I614" s="11"/>
      <c r="J614" s="11"/>
      <c r="K614" s="11"/>
      <c r="L614" s="11"/>
    </row>
    <row r="615" spans="1:12" x14ac:dyDescent="0.25">
      <c r="A615" s="11"/>
      <c r="B615" s="11"/>
      <c r="C615" s="11"/>
      <c r="D615" s="11"/>
      <c r="E615" s="3">
        <f>IF(A615="","",COUNTIF('02_Guest_Database'!F2:F999,A615))</f>
      </c>
      <c r="F615" s="3">
        <f>IF(A615="","",MAX(0,D615-E615))</f>
      </c>
      <c r="G615" s="3">
        <f>IF(A615="","",IFERROR(E615/D615,0))</f>
      </c>
      <c r="H615" s="3">
        <f>IF(A615="","",IF(E615&gt;D615,"חריגת קיבולת",IF(E615=D615,"מלא","תקין")))</f>
      </c>
      <c r="I615" s="11"/>
      <c r="J615" s="11"/>
      <c r="K615" s="11"/>
      <c r="L615" s="11"/>
    </row>
    <row r="616" spans="1:12" x14ac:dyDescent="0.25">
      <c r="A616" s="11"/>
      <c r="B616" s="11"/>
      <c r="C616" s="11"/>
      <c r="D616" s="11"/>
      <c r="E616" s="3">
        <f>IF(A616="","",COUNTIF('02_Guest_Database'!F2:F999,A616))</f>
      </c>
      <c r="F616" s="3">
        <f>IF(A616="","",MAX(0,D616-E616))</f>
      </c>
      <c r="G616" s="3">
        <f>IF(A616="","",IFERROR(E616/D616,0))</f>
      </c>
      <c r="H616" s="3">
        <f>IF(A616="","",IF(E616&gt;D616,"חריגת קיבולת",IF(E616=D616,"מלא","תקין")))</f>
      </c>
      <c r="I616" s="11"/>
      <c r="J616" s="11"/>
      <c r="K616" s="11"/>
      <c r="L616" s="11"/>
    </row>
    <row r="617" spans="1:12" x14ac:dyDescent="0.25">
      <c r="A617" s="11"/>
      <c r="B617" s="11"/>
      <c r="C617" s="11"/>
      <c r="D617" s="11"/>
      <c r="E617" s="3">
        <f>IF(A617="","",COUNTIF('02_Guest_Database'!F2:F999,A617))</f>
      </c>
      <c r="F617" s="3">
        <f>IF(A617="","",MAX(0,D617-E617))</f>
      </c>
      <c r="G617" s="3">
        <f>IF(A617="","",IFERROR(E617/D617,0))</f>
      </c>
      <c r="H617" s="3">
        <f>IF(A617="","",IF(E617&gt;D617,"חריגת קיבולת",IF(E617=D617,"מלא","תקין")))</f>
      </c>
      <c r="I617" s="11"/>
      <c r="J617" s="11"/>
      <c r="K617" s="11"/>
      <c r="L617" s="11"/>
    </row>
    <row r="618" spans="1:12" x14ac:dyDescent="0.25">
      <c r="A618" s="11"/>
      <c r="B618" s="11"/>
      <c r="C618" s="11"/>
      <c r="D618" s="11"/>
      <c r="E618" s="3">
        <f>IF(A618="","",COUNTIF('02_Guest_Database'!F2:F999,A618))</f>
      </c>
      <c r="F618" s="3">
        <f>IF(A618="","",MAX(0,D618-E618))</f>
      </c>
      <c r="G618" s="3">
        <f>IF(A618="","",IFERROR(E618/D618,0))</f>
      </c>
      <c r="H618" s="3">
        <f>IF(A618="","",IF(E618&gt;D618,"חריגת קיבולת",IF(E618=D618,"מלא","תקין")))</f>
      </c>
      <c r="I618" s="11"/>
      <c r="J618" s="11"/>
      <c r="K618" s="11"/>
      <c r="L618" s="11"/>
    </row>
    <row r="619" spans="1:12" x14ac:dyDescent="0.25">
      <c r="A619" s="11"/>
      <c r="B619" s="11"/>
      <c r="C619" s="11"/>
      <c r="D619" s="11"/>
      <c r="E619" s="3">
        <f>IF(A619="","",COUNTIF('02_Guest_Database'!F2:F999,A619))</f>
      </c>
      <c r="F619" s="3">
        <f>IF(A619="","",MAX(0,D619-E619))</f>
      </c>
      <c r="G619" s="3">
        <f>IF(A619="","",IFERROR(E619/D619,0))</f>
      </c>
      <c r="H619" s="3">
        <f>IF(A619="","",IF(E619&gt;D619,"חריגת קיבולת",IF(E619=D619,"מלא","תקין")))</f>
      </c>
      <c r="I619" s="11"/>
      <c r="J619" s="11"/>
      <c r="K619" s="11"/>
      <c r="L619" s="11"/>
    </row>
    <row r="620" spans="1:12" x14ac:dyDescent="0.25">
      <c r="A620" s="11"/>
      <c r="B620" s="11"/>
      <c r="C620" s="11"/>
      <c r="D620" s="11"/>
      <c r="E620" s="3">
        <f>IF(A620="","",COUNTIF('02_Guest_Database'!F2:F999,A620))</f>
      </c>
      <c r="F620" s="3">
        <f>IF(A620="","",MAX(0,D620-E620))</f>
      </c>
      <c r="G620" s="3">
        <f>IF(A620="","",IFERROR(E620/D620,0))</f>
      </c>
      <c r="H620" s="3">
        <f>IF(A620="","",IF(E620&gt;D620,"חריגת קיבולת",IF(E620=D620,"מלא","תקין")))</f>
      </c>
      <c r="I620" s="11"/>
      <c r="J620" s="11"/>
      <c r="K620" s="11"/>
      <c r="L620" s="11"/>
    </row>
    <row r="621" spans="1:12" x14ac:dyDescent="0.25">
      <c r="A621" s="11"/>
      <c r="B621" s="11"/>
      <c r="C621" s="11"/>
      <c r="D621" s="11"/>
      <c r="E621" s="3">
        <f>IF(A621="","",COUNTIF('02_Guest_Database'!F2:F999,A621))</f>
      </c>
      <c r="F621" s="3">
        <f>IF(A621="","",MAX(0,D621-E621))</f>
      </c>
      <c r="G621" s="3">
        <f>IF(A621="","",IFERROR(E621/D621,0))</f>
      </c>
      <c r="H621" s="3">
        <f>IF(A621="","",IF(E621&gt;D621,"חריגת קיבולת",IF(E621=D621,"מלא","תקין")))</f>
      </c>
      <c r="I621" s="11"/>
      <c r="J621" s="11"/>
      <c r="K621" s="11"/>
      <c r="L621" s="11"/>
    </row>
    <row r="622" spans="1:12" x14ac:dyDescent="0.25">
      <c r="A622" s="11"/>
      <c r="B622" s="11"/>
      <c r="C622" s="11"/>
      <c r="D622" s="11"/>
      <c r="E622" s="3">
        <f>IF(A622="","",COUNTIF('02_Guest_Database'!F2:F999,A622))</f>
      </c>
      <c r="F622" s="3">
        <f>IF(A622="","",MAX(0,D622-E622))</f>
      </c>
      <c r="G622" s="3">
        <f>IF(A622="","",IFERROR(E622/D622,0))</f>
      </c>
      <c r="H622" s="3">
        <f>IF(A622="","",IF(E622&gt;D622,"חריגת קיבולת",IF(E622=D622,"מלא","תקין")))</f>
      </c>
      <c r="I622" s="11"/>
      <c r="J622" s="11"/>
      <c r="K622" s="11"/>
      <c r="L622" s="11"/>
    </row>
    <row r="623" spans="1:12" x14ac:dyDescent="0.25">
      <c r="A623" s="11"/>
      <c r="B623" s="11"/>
      <c r="C623" s="11"/>
      <c r="D623" s="11"/>
      <c r="E623" s="3">
        <f>IF(A623="","",COUNTIF('02_Guest_Database'!F2:F999,A623))</f>
      </c>
      <c r="F623" s="3">
        <f>IF(A623="","",MAX(0,D623-E623))</f>
      </c>
      <c r="G623" s="3">
        <f>IF(A623="","",IFERROR(E623/D623,0))</f>
      </c>
      <c r="H623" s="3">
        <f>IF(A623="","",IF(E623&gt;D623,"חריגת קיבולת",IF(E623=D623,"מלא","תקין")))</f>
      </c>
      <c r="I623" s="11"/>
      <c r="J623" s="11"/>
      <c r="K623" s="11"/>
      <c r="L623" s="11"/>
    </row>
    <row r="624" spans="1:12" x14ac:dyDescent="0.25">
      <c r="A624" s="11"/>
      <c r="B624" s="11"/>
      <c r="C624" s="11"/>
      <c r="D624" s="11"/>
      <c r="E624" s="3">
        <f>IF(A624="","",COUNTIF('02_Guest_Database'!F2:F999,A624))</f>
      </c>
      <c r="F624" s="3">
        <f>IF(A624="","",MAX(0,D624-E624))</f>
      </c>
      <c r="G624" s="3">
        <f>IF(A624="","",IFERROR(E624/D624,0))</f>
      </c>
      <c r="H624" s="3">
        <f>IF(A624="","",IF(E624&gt;D624,"חריגת קיבולת",IF(E624=D624,"מלא","תקין")))</f>
      </c>
      <c r="I624" s="11"/>
      <c r="J624" s="11"/>
      <c r="K624" s="11"/>
      <c r="L624" s="11"/>
    </row>
    <row r="625" spans="1:12" x14ac:dyDescent="0.25">
      <c r="A625" s="11"/>
      <c r="B625" s="11"/>
      <c r="C625" s="11"/>
      <c r="D625" s="11"/>
      <c r="E625" s="3">
        <f>IF(A625="","",COUNTIF('02_Guest_Database'!F2:F999,A625))</f>
      </c>
      <c r="F625" s="3">
        <f>IF(A625="","",MAX(0,D625-E625))</f>
      </c>
      <c r="G625" s="3">
        <f>IF(A625="","",IFERROR(E625/D625,0))</f>
      </c>
      <c r="H625" s="3">
        <f>IF(A625="","",IF(E625&gt;D625,"חריגת קיבולת",IF(E625=D625,"מלא","תקין")))</f>
      </c>
      <c r="I625" s="11"/>
      <c r="J625" s="11"/>
      <c r="K625" s="11"/>
      <c r="L625" s="11"/>
    </row>
    <row r="626" spans="1:12" x14ac:dyDescent="0.25">
      <c r="A626" s="11"/>
      <c r="B626" s="11"/>
      <c r="C626" s="11"/>
      <c r="D626" s="11"/>
      <c r="E626" s="3">
        <f>IF(A626="","",COUNTIF('02_Guest_Database'!F2:F999,A626))</f>
      </c>
      <c r="F626" s="3">
        <f>IF(A626="","",MAX(0,D626-E626))</f>
      </c>
      <c r="G626" s="3">
        <f>IF(A626="","",IFERROR(E626/D626,0))</f>
      </c>
      <c r="H626" s="3">
        <f>IF(A626="","",IF(E626&gt;D626,"חריגת קיבולת",IF(E626=D626,"מלא","תקין")))</f>
      </c>
      <c r="I626" s="11"/>
      <c r="J626" s="11"/>
      <c r="K626" s="11"/>
      <c r="L626" s="11"/>
    </row>
    <row r="627" spans="1:12" x14ac:dyDescent="0.25">
      <c r="A627" s="11"/>
      <c r="B627" s="11"/>
      <c r="C627" s="11"/>
      <c r="D627" s="11"/>
      <c r="E627" s="3">
        <f>IF(A627="","",COUNTIF('02_Guest_Database'!F2:F999,A627))</f>
      </c>
      <c r="F627" s="3">
        <f>IF(A627="","",MAX(0,D627-E627))</f>
      </c>
      <c r="G627" s="3">
        <f>IF(A627="","",IFERROR(E627/D627,0))</f>
      </c>
      <c r="H627" s="3">
        <f>IF(A627="","",IF(E627&gt;D627,"חריגת קיבולת",IF(E627=D627,"מלא","תקין")))</f>
      </c>
      <c r="I627" s="11"/>
      <c r="J627" s="11"/>
      <c r="K627" s="11"/>
      <c r="L627" s="11"/>
    </row>
    <row r="628" spans="1:12" x14ac:dyDescent="0.25">
      <c r="A628" s="11"/>
      <c r="B628" s="11"/>
      <c r="C628" s="11"/>
      <c r="D628" s="11"/>
      <c r="E628" s="3">
        <f>IF(A628="","",COUNTIF('02_Guest_Database'!F2:F999,A628))</f>
      </c>
      <c r="F628" s="3">
        <f>IF(A628="","",MAX(0,D628-E628))</f>
      </c>
      <c r="G628" s="3">
        <f>IF(A628="","",IFERROR(E628/D628,0))</f>
      </c>
      <c r="H628" s="3">
        <f>IF(A628="","",IF(E628&gt;D628,"חריגת קיבולת",IF(E628=D628,"מלא","תקין")))</f>
      </c>
      <c r="I628" s="11"/>
      <c r="J628" s="11"/>
      <c r="K628" s="11"/>
      <c r="L628" s="11"/>
    </row>
    <row r="629" spans="1:12" x14ac:dyDescent="0.25">
      <c r="A629" s="11"/>
      <c r="B629" s="11"/>
      <c r="C629" s="11"/>
      <c r="D629" s="11"/>
      <c r="E629" s="3">
        <f>IF(A629="","",COUNTIF('02_Guest_Database'!F2:F999,A629))</f>
      </c>
      <c r="F629" s="3">
        <f>IF(A629="","",MAX(0,D629-E629))</f>
      </c>
      <c r="G629" s="3">
        <f>IF(A629="","",IFERROR(E629/D629,0))</f>
      </c>
      <c r="H629" s="3">
        <f>IF(A629="","",IF(E629&gt;D629,"חריגת קיבולת",IF(E629=D629,"מלא","תקין")))</f>
      </c>
      <c r="I629" s="11"/>
      <c r="J629" s="11"/>
      <c r="K629" s="11"/>
      <c r="L629" s="11"/>
    </row>
    <row r="630" spans="1:12" x14ac:dyDescent="0.25">
      <c r="A630" s="11"/>
      <c r="B630" s="11"/>
      <c r="C630" s="11"/>
      <c r="D630" s="11"/>
      <c r="E630" s="3">
        <f>IF(A630="","",COUNTIF('02_Guest_Database'!F2:F999,A630))</f>
      </c>
      <c r="F630" s="3">
        <f>IF(A630="","",MAX(0,D630-E630))</f>
      </c>
      <c r="G630" s="3">
        <f>IF(A630="","",IFERROR(E630/D630,0))</f>
      </c>
      <c r="H630" s="3">
        <f>IF(A630="","",IF(E630&gt;D630,"חריגת קיבולת",IF(E630=D630,"מלא","תקין")))</f>
      </c>
      <c r="I630" s="11"/>
      <c r="J630" s="11"/>
      <c r="K630" s="11"/>
      <c r="L630" s="11"/>
    </row>
    <row r="631" spans="1:12" x14ac:dyDescent="0.25">
      <c r="A631" s="11"/>
      <c r="B631" s="11"/>
      <c r="C631" s="11"/>
      <c r="D631" s="11"/>
      <c r="E631" s="3">
        <f>IF(A631="","",COUNTIF('02_Guest_Database'!F2:F999,A631))</f>
      </c>
      <c r="F631" s="3">
        <f>IF(A631="","",MAX(0,D631-E631))</f>
      </c>
      <c r="G631" s="3">
        <f>IF(A631="","",IFERROR(E631/D631,0))</f>
      </c>
      <c r="H631" s="3">
        <f>IF(A631="","",IF(E631&gt;D631,"חריגת קיבולת",IF(E631=D631,"מלא","תקין")))</f>
      </c>
      <c r="I631" s="11"/>
      <c r="J631" s="11"/>
      <c r="K631" s="11"/>
      <c r="L631" s="11"/>
    </row>
    <row r="632" spans="1:12" x14ac:dyDescent="0.25">
      <c r="A632" s="11"/>
      <c r="B632" s="11"/>
      <c r="C632" s="11"/>
      <c r="D632" s="11"/>
      <c r="E632" s="3">
        <f>IF(A632="","",COUNTIF('02_Guest_Database'!F2:F999,A632))</f>
      </c>
      <c r="F632" s="3">
        <f>IF(A632="","",MAX(0,D632-E632))</f>
      </c>
      <c r="G632" s="3">
        <f>IF(A632="","",IFERROR(E632/D632,0))</f>
      </c>
      <c r="H632" s="3">
        <f>IF(A632="","",IF(E632&gt;D632,"חריגת קיבולת",IF(E632=D632,"מלא","תקין")))</f>
      </c>
      <c r="I632" s="11"/>
      <c r="J632" s="11"/>
      <c r="K632" s="11"/>
      <c r="L632" s="11"/>
    </row>
    <row r="633" spans="1:12" x14ac:dyDescent="0.25">
      <c r="A633" s="11"/>
      <c r="B633" s="11"/>
      <c r="C633" s="11"/>
      <c r="D633" s="11"/>
      <c r="E633" s="3">
        <f>IF(A633="","",COUNTIF('02_Guest_Database'!F2:F999,A633))</f>
      </c>
      <c r="F633" s="3">
        <f>IF(A633="","",MAX(0,D633-E633))</f>
      </c>
      <c r="G633" s="3">
        <f>IF(A633="","",IFERROR(E633/D633,0))</f>
      </c>
      <c r="H633" s="3">
        <f>IF(A633="","",IF(E633&gt;D633,"חריגת קיבולת",IF(E633=D633,"מלא","תקין")))</f>
      </c>
      <c r="I633" s="11"/>
      <c r="J633" s="11"/>
      <c r="K633" s="11"/>
      <c r="L633" s="11"/>
    </row>
    <row r="634" spans="1:12" x14ac:dyDescent="0.25">
      <c r="A634" s="11"/>
      <c r="B634" s="11"/>
      <c r="C634" s="11"/>
      <c r="D634" s="11"/>
      <c r="E634" s="3">
        <f>IF(A634="","",COUNTIF('02_Guest_Database'!F2:F999,A634))</f>
      </c>
      <c r="F634" s="3">
        <f>IF(A634="","",MAX(0,D634-E634))</f>
      </c>
      <c r="G634" s="3">
        <f>IF(A634="","",IFERROR(E634/D634,0))</f>
      </c>
      <c r="H634" s="3">
        <f>IF(A634="","",IF(E634&gt;D634,"חריגת קיבולת",IF(E634=D634,"מלא","תקין")))</f>
      </c>
      <c r="I634" s="11"/>
      <c r="J634" s="11"/>
      <c r="K634" s="11"/>
      <c r="L634" s="11"/>
    </row>
    <row r="635" spans="1:12" x14ac:dyDescent="0.25">
      <c r="A635" s="11"/>
      <c r="B635" s="11"/>
      <c r="C635" s="11"/>
      <c r="D635" s="11"/>
      <c r="E635" s="3">
        <f>IF(A635="","",COUNTIF('02_Guest_Database'!F2:F999,A635))</f>
      </c>
      <c r="F635" s="3">
        <f>IF(A635="","",MAX(0,D635-E635))</f>
      </c>
      <c r="G635" s="3">
        <f>IF(A635="","",IFERROR(E635/D635,0))</f>
      </c>
      <c r="H635" s="3">
        <f>IF(A635="","",IF(E635&gt;D635,"חריגת קיבולת",IF(E635=D635,"מלא","תקין")))</f>
      </c>
      <c r="I635" s="11"/>
      <c r="J635" s="11"/>
      <c r="K635" s="11"/>
      <c r="L635" s="11"/>
    </row>
    <row r="636" spans="1:12" x14ac:dyDescent="0.25">
      <c r="A636" s="11"/>
      <c r="B636" s="11"/>
      <c r="C636" s="11"/>
      <c r="D636" s="11"/>
      <c r="E636" s="3">
        <f>IF(A636="","",COUNTIF('02_Guest_Database'!F2:F999,A636))</f>
      </c>
      <c r="F636" s="3">
        <f>IF(A636="","",MAX(0,D636-E636))</f>
      </c>
      <c r="G636" s="3">
        <f>IF(A636="","",IFERROR(E636/D636,0))</f>
      </c>
      <c r="H636" s="3">
        <f>IF(A636="","",IF(E636&gt;D636,"חריגת קיבולת",IF(E636=D636,"מלא","תקין")))</f>
      </c>
      <c r="I636" s="11"/>
      <c r="J636" s="11"/>
      <c r="K636" s="11"/>
      <c r="L636" s="11"/>
    </row>
    <row r="637" spans="1:12" x14ac:dyDescent="0.25">
      <c r="A637" s="11"/>
      <c r="B637" s="11"/>
      <c r="C637" s="11"/>
      <c r="D637" s="11"/>
      <c r="E637" s="3">
        <f>IF(A637="","",COUNTIF('02_Guest_Database'!F2:F999,A637))</f>
      </c>
      <c r="F637" s="3">
        <f>IF(A637="","",MAX(0,D637-E637))</f>
      </c>
      <c r="G637" s="3">
        <f>IF(A637="","",IFERROR(E637/D637,0))</f>
      </c>
      <c r="H637" s="3">
        <f>IF(A637="","",IF(E637&gt;D637,"חריגת קיבולת",IF(E637=D637,"מלא","תקין")))</f>
      </c>
      <c r="I637" s="11"/>
      <c r="J637" s="11"/>
      <c r="K637" s="11"/>
      <c r="L637" s="11"/>
    </row>
    <row r="638" spans="1:12" x14ac:dyDescent="0.25">
      <c r="A638" s="11"/>
      <c r="B638" s="11"/>
      <c r="C638" s="11"/>
      <c r="D638" s="11"/>
      <c r="E638" s="3">
        <f>IF(A638="","",COUNTIF('02_Guest_Database'!F2:F999,A638))</f>
      </c>
      <c r="F638" s="3">
        <f>IF(A638="","",MAX(0,D638-E638))</f>
      </c>
      <c r="G638" s="3">
        <f>IF(A638="","",IFERROR(E638/D638,0))</f>
      </c>
      <c r="H638" s="3">
        <f>IF(A638="","",IF(E638&gt;D638,"חריגת קיבולת",IF(E638=D638,"מלא","תקין")))</f>
      </c>
      <c r="I638" s="11"/>
      <c r="J638" s="11"/>
      <c r="K638" s="11"/>
      <c r="L638" s="11"/>
    </row>
    <row r="639" spans="1:12" x14ac:dyDescent="0.25">
      <c r="A639" s="11"/>
      <c r="B639" s="11"/>
      <c r="C639" s="11"/>
      <c r="D639" s="11"/>
      <c r="E639" s="3">
        <f>IF(A639="","",COUNTIF('02_Guest_Database'!F2:F999,A639))</f>
      </c>
      <c r="F639" s="3">
        <f>IF(A639="","",MAX(0,D639-E639))</f>
      </c>
      <c r="G639" s="3">
        <f>IF(A639="","",IFERROR(E639/D639,0))</f>
      </c>
      <c r="H639" s="3">
        <f>IF(A639="","",IF(E639&gt;D639,"חריגת קיבולת",IF(E639=D639,"מלא","תקין")))</f>
      </c>
      <c r="I639" s="11"/>
      <c r="J639" s="11"/>
      <c r="K639" s="11"/>
      <c r="L639" s="11"/>
    </row>
    <row r="640" spans="1:12" x14ac:dyDescent="0.25">
      <c r="A640" s="11"/>
      <c r="B640" s="11"/>
      <c r="C640" s="11"/>
      <c r="D640" s="11"/>
      <c r="E640" s="3">
        <f>IF(A640="","",COUNTIF('02_Guest_Database'!F2:F999,A640))</f>
      </c>
      <c r="F640" s="3">
        <f>IF(A640="","",MAX(0,D640-E640))</f>
      </c>
      <c r="G640" s="3">
        <f>IF(A640="","",IFERROR(E640/D640,0))</f>
      </c>
      <c r="H640" s="3">
        <f>IF(A640="","",IF(E640&gt;D640,"חריגת קיבולת",IF(E640=D640,"מלא","תקין")))</f>
      </c>
      <c r="I640" s="11"/>
      <c r="J640" s="11"/>
      <c r="K640" s="11"/>
      <c r="L640" s="11"/>
    </row>
    <row r="641" spans="1:12" x14ac:dyDescent="0.25">
      <c r="A641" s="11"/>
      <c r="B641" s="11"/>
      <c r="C641" s="11"/>
      <c r="D641" s="11"/>
      <c r="E641" s="3">
        <f>IF(A641="","",COUNTIF('02_Guest_Database'!F2:F999,A641))</f>
      </c>
      <c r="F641" s="3">
        <f>IF(A641="","",MAX(0,D641-E641))</f>
      </c>
      <c r="G641" s="3">
        <f>IF(A641="","",IFERROR(E641/D641,0))</f>
      </c>
      <c r="H641" s="3">
        <f>IF(A641="","",IF(E641&gt;D641,"חריגת קיבולת",IF(E641=D641,"מלא","תקין")))</f>
      </c>
      <c r="I641" s="11"/>
      <c r="J641" s="11"/>
      <c r="K641" s="11"/>
      <c r="L641" s="11"/>
    </row>
    <row r="642" spans="1:12" x14ac:dyDescent="0.25">
      <c r="A642" s="11"/>
      <c r="B642" s="11"/>
      <c r="C642" s="11"/>
      <c r="D642" s="11"/>
      <c r="E642" s="3">
        <f>IF(A642="","",COUNTIF('02_Guest_Database'!F2:F999,A642))</f>
      </c>
      <c r="F642" s="3">
        <f>IF(A642="","",MAX(0,D642-E642))</f>
      </c>
      <c r="G642" s="3">
        <f>IF(A642="","",IFERROR(E642/D642,0))</f>
      </c>
      <c r="H642" s="3">
        <f>IF(A642="","",IF(E642&gt;D642,"חריגת קיבולת",IF(E642=D642,"מלא","תקין")))</f>
      </c>
      <c r="I642" s="11"/>
      <c r="J642" s="11"/>
      <c r="K642" s="11"/>
      <c r="L642" s="11"/>
    </row>
    <row r="643" spans="1:12" x14ac:dyDescent="0.25">
      <c r="A643" s="11"/>
      <c r="B643" s="11"/>
      <c r="C643" s="11"/>
      <c r="D643" s="11"/>
      <c r="E643" s="3">
        <f>IF(A643="","",COUNTIF('02_Guest_Database'!F2:F999,A643))</f>
      </c>
      <c r="F643" s="3">
        <f>IF(A643="","",MAX(0,D643-E643))</f>
      </c>
      <c r="G643" s="3">
        <f>IF(A643="","",IFERROR(E643/D643,0))</f>
      </c>
      <c r="H643" s="3">
        <f>IF(A643="","",IF(E643&gt;D643,"חריגת קיבולת",IF(E643=D643,"מלא","תקין")))</f>
      </c>
      <c r="I643" s="11"/>
      <c r="J643" s="11"/>
      <c r="K643" s="11"/>
      <c r="L643" s="11"/>
    </row>
    <row r="644" spans="1:12" x14ac:dyDescent="0.25">
      <c r="A644" s="11"/>
      <c r="B644" s="11"/>
      <c r="C644" s="11"/>
      <c r="D644" s="11"/>
      <c r="E644" s="3">
        <f>IF(A644="","",COUNTIF('02_Guest_Database'!F2:F999,A644))</f>
      </c>
      <c r="F644" s="3">
        <f>IF(A644="","",MAX(0,D644-E644))</f>
      </c>
      <c r="G644" s="3">
        <f>IF(A644="","",IFERROR(E644/D644,0))</f>
      </c>
      <c r="H644" s="3">
        <f>IF(A644="","",IF(E644&gt;D644,"חריגת קיבולת",IF(E644=D644,"מלא","תקין")))</f>
      </c>
      <c r="I644" s="11"/>
      <c r="J644" s="11"/>
      <c r="K644" s="11"/>
      <c r="L644" s="11"/>
    </row>
    <row r="645" spans="1:12" x14ac:dyDescent="0.25">
      <c r="A645" s="11"/>
      <c r="B645" s="11"/>
      <c r="C645" s="11"/>
      <c r="D645" s="11"/>
      <c r="E645" s="3">
        <f>IF(A645="","",COUNTIF('02_Guest_Database'!F2:F999,A645))</f>
      </c>
      <c r="F645" s="3">
        <f>IF(A645="","",MAX(0,D645-E645))</f>
      </c>
      <c r="G645" s="3">
        <f>IF(A645="","",IFERROR(E645/D645,0))</f>
      </c>
      <c r="H645" s="3">
        <f>IF(A645="","",IF(E645&gt;D645,"חריגת קיבולת",IF(E645=D645,"מלא","תקין")))</f>
      </c>
      <c r="I645" s="11"/>
      <c r="J645" s="11"/>
      <c r="K645" s="11"/>
      <c r="L645" s="11"/>
    </row>
    <row r="646" spans="1:12" x14ac:dyDescent="0.25">
      <c r="A646" s="11"/>
      <c r="B646" s="11"/>
      <c r="C646" s="11"/>
      <c r="D646" s="11"/>
      <c r="E646" s="3">
        <f>IF(A646="","",COUNTIF('02_Guest_Database'!F2:F999,A646))</f>
      </c>
      <c r="F646" s="3">
        <f>IF(A646="","",MAX(0,D646-E646))</f>
      </c>
      <c r="G646" s="3">
        <f>IF(A646="","",IFERROR(E646/D646,0))</f>
      </c>
      <c r="H646" s="3">
        <f>IF(A646="","",IF(E646&gt;D646,"חריגת קיבולת",IF(E646=D646,"מלא","תקין")))</f>
      </c>
      <c r="I646" s="11"/>
      <c r="J646" s="11"/>
      <c r="K646" s="11"/>
      <c r="L646" s="11"/>
    </row>
    <row r="647" spans="1:12" x14ac:dyDescent="0.25">
      <c r="A647" s="11"/>
      <c r="B647" s="11"/>
      <c r="C647" s="11"/>
      <c r="D647" s="11"/>
      <c r="E647" s="3">
        <f>IF(A647="","",COUNTIF('02_Guest_Database'!F2:F999,A647))</f>
      </c>
      <c r="F647" s="3">
        <f>IF(A647="","",MAX(0,D647-E647))</f>
      </c>
      <c r="G647" s="3">
        <f>IF(A647="","",IFERROR(E647/D647,0))</f>
      </c>
      <c r="H647" s="3">
        <f>IF(A647="","",IF(E647&gt;D647,"חריגת קיבולת",IF(E647=D647,"מלא","תקין")))</f>
      </c>
      <c r="I647" s="11"/>
      <c r="J647" s="11"/>
      <c r="K647" s="11"/>
      <c r="L647" s="11"/>
    </row>
    <row r="648" spans="1:12" x14ac:dyDescent="0.25">
      <c r="A648" s="11"/>
      <c r="B648" s="11"/>
      <c r="C648" s="11"/>
      <c r="D648" s="11"/>
      <c r="E648" s="3">
        <f>IF(A648="","",COUNTIF('02_Guest_Database'!F2:F999,A648))</f>
      </c>
      <c r="F648" s="3">
        <f>IF(A648="","",MAX(0,D648-E648))</f>
      </c>
      <c r="G648" s="3">
        <f>IF(A648="","",IFERROR(E648/D648,0))</f>
      </c>
      <c r="H648" s="3">
        <f>IF(A648="","",IF(E648&gt;D648,"חריגת קיבולת",IF(E648=D648,"מלא","תקין")))</f>
      </c>
      <c r="I648" s="11"/>
      <c r="J648" s="11"/>
      <c r="K648" s="11"/>
      <c r="L648" s="11"/>
    </row>
    <row r="649" spans="1:12" x14ac:dyDescent="0.25">
      <c r="A649" s="11"/>
      <c r="B649" s="11"/>
      <c r="C649" s="11"/>
      <c r="D649" s="11"/>
      <c r="E649" s="3">
        <f>IF(A649="","",COUNTIF('02_Guest_Database'!F2:F999,A649))</f>
      </c>
      <c r="F649" s="3">
        <f>IF(A649="","",MAX(0,D649-E649))</f>
      </c>
      <c r="G649" s="3">
        <f>IF(A649="","",IFERROR(E649/D649,0))</f>
      </c>
      <c r="H649" s="3">
        <f>IF(A649="","",IF(E649&gt;D649,"חריגת קיבולת",IF(E649=D649,"מלא","תקין")))</f>
      </c>
      <c r="I649" s="11"/>
      <c r="J649" s="11"/>
      <c r="K649" s="11"/>
      <c r="L649" s="11"/>
    </row>
    <row r="650" spans="1:12" x14ac:dyDescent="0.25">
      <c r="A650" s="11"/>
      <c r="B650" s="11"/>
      <c r="C650" s="11"/>
      <c r="D650" s="11"/>
      <c r="E650" s="3">
        <f>IF(A650="","",COUNTIF('02_Guest_Database'!F2:F999,A650))</f>
      </c>
      <c r="F650" s="3">
        <f>IF(A650="","",MAX(0,D650-E650))</f>
      </c>
      <c r="G650" s="3">
        <f>IF(A650="","",IFERROR(E650/D650,0))</f>
      </c>
      <c r="H650" s="3">
        <f>IF(A650="","",IF(E650&gt;D650,"חריגת קיבולת",IF(E650=D650,"מלא","תקין")))</f>
      </c>
      <c r="I650" s="11"/>
      <c r="J650" s="11"/>
      <c r="K650" s="11"/>
      <c r="L650" s="11"/>
    </row>
    <row r="651" spans="1:12" x14ac:dyDescent="0.25">
      <c r="A651" s="11"/>
      <c r="B651" s="11"/>
      <c r="C651" s="11"/>
      <c r="D651" s="11"/>
      <c r="E651" s="3">
        <f>IF(A651="","",COUNTIF('02_Guest_Database'!F2:F999,A651))</f>
      </c>
      <c r="F651" s="3">
        <f>IF(A651="","",MAX(0,D651-E651))</f>
      </c>
      <c r="G651" s="3">
        <f>IF(A651="","",IFERROR(E651/D651,0))</f>
      </c>
      <c r="H651" s="3">
        <f>IF(A651="","",IF(E651&gt;D651,"חריגת קיבולת",IF(E651=D651,"מלא","תקין")))</f>
      </c>
      <c r="I651" s="11"/>
      <c r="J651" s="11"/>
      <c r="K651" s="11"/>
      <c r="L651" s="11"/>
    </row>
    <row r="652" spans="1:12" x14ac:dyDescent="0.25">
      <c r="A652" s="11"/>
      <c r="B652" s="11"/>
      <c r="C652" s="11"/>
      <c r="D652" s="11"/>
      <c r="E652" s="3">
        <f>IF(A652="","",COUNTIF('02_Guest_Database'!F2:F999,A652))</f>
      </c>
      <c r="F652" s="3">
        <f>IF(A652="","",MAX(0,D652-E652))</f>
      </c>
      <c r="G652" s="3">
        <f>IF(A652="","",IFERROR(E652/D652,0))</f>
      </c>
      <c r="H652" s="3">
        <f>IF(A652="","",IF(E652&gt;D652,"חריגת קיבולת",IF(E652=D652,"מלא","תקין")))</f>
      </c>
      <c r="I652" s="11"/>
      <c r="J652" s="11"/>
      <c r="K652" s="11"/>
      <c r="L652" s="11"/>
    </row>
    <row r="653" spans="1:12" x14ac:dyDescent="0.25">
      <c r="A653" s="11"/>
      <c r="B653" s="11"/>
      <c r="C653" s="11"/>
      <c r="D653" s="11"/>
      <c r="E653" s="3">
        <f>IF(A653="","",COUNTIF('02_Guest_Database'!F2:F999,A653))</f>
      </c>
      <c r="F653" s="3">
        <f>IF(A653="","",MAX(0,D653-E653))</f>
      </c>
      <c r="G653" s="3">
        <f>IF(A653="","",IFERROR(E653/D653,0))</f>
      </c>
      <c r="H653" s="3">
        <f>IF(A653="","",IF(E653&gt;D653,"חריגת קיבולת",IF(E653=D653,"מלא","תקין")))</f>
      </c>
      <c r="I653" s="11"/>
      <c r="J653" s="11"/>
      <c r="K653" s="11"/>
      <c r="L653" s="11"/>
    </row>
    <row r="654" spans="1:12" x14ac:dyDescent="0.25">
      <c r="A654" s="11"/>
      <c r="B654" s="11"/>
      <c r="C654" s="11"/>
      <c r="D654" s="11"/>
      <c r="E654" s="3">
        <f>IF(A654="","",COUNTIF('02_Guest_Database'!F2:F999,A654))</f>
      </c>
      <c r="F654" s="3">
        <f>IF(A654="","",MAX(0,D654-E654))</f>
      </c>
      <c r="G654" s="3">
        <f>IF(A654="","",IFERROR(E654/D654,0))</f>
      </c>
      <c r="H654" s="3">
        <f>IF(A654="","",IF(E654&gt;D654,"חריגת קיבולת",IF(E654=D654,"מלא","תקין")))</f>
      </c>
      <c r="I654" s="11"/>
      <c r="J654" s="11"/>
      <c r="K654" s="11"/>
      <c r="L654" s="11"/>
    </row>
    <row r="655" spans="1:12" x14ac:dyDescent="0.25">
      <c r="A655" s="11"/>
      <c r="B655" s="11"/>
      <c r="C655" s="11"/>
      <c r="D655" s="11"/>
      <c r="E655" s="3">
        <f>IF(A655="","",COUNTIF('02_Guest_Database'!F2:F999,A655))</f>
      </c>
      <c r="F655" s="3">
        <f>IF(A655="","",MAX(0,D655-E655))</f>
      </c>
      <c r="G655" s="3">
        <f>IF(A655="","",IFERROR(E655/D655,0))</f>
      </c>
      <c r="H655" s="3">
        <f>IF(A655="","",IF(E655&gt;D655,"חריגת קיבולת",IF(E655=D655,"מלא","תקין")))</f>
      </c>
      <c r="I655" s="11"/>
      <c r="J655" s="11"/>
      <c r="K655" s="11"/>
      <c r="L655" s="11"/>
    </row>
    <row r="656" spans="1:12" x14ac:dyDescent="0.25">
      <c r="A656" s="11"/>
      <c r="B656" s="11"/>
      <c r="C656" s="11"/>
      <c r="D656" s="11"/>
      <c r="E656" s="3">
        <f>IF(A656="","",COUNTIF('02_Guest_Database'!F2:F999,A656))</f>
      </c>
      <c r="F656" s="3">
        <f>IF(A656="","",MAX(0,D656-E656))</f>
      </c>
      <c r="G656" s="3">
        <f>IF(A656="","",IFERROR(E656/D656,0))</f>
      </c>
      <c r="H656" s="3">
        <f>IF(A656="","",IF(E656&gt;D656,"חריגת קיבולת",IF(E656=D656,"מלא","תקין")))</f>
      </c>
      <c r="I656" s="11"/>
      <c r="J656" s="11"/>
      <c r="K656" s="11"/>
      <c r="L656" s="11"/>
    </row>
    <row r="657" spans="1:12" x14ac:dyDescent="0.25">
      <c r="A657" s="11"/>
      <c r="B657" s="11"/>
      <c r="C657" s="11"/>
      <c r="D657" s="11"/>
      <c r="E657" s="3">
        <f>IF(A657="","",COUNTIF('02_Guest_Database'!F2:F999,A657))</f>
      </c>
      <c r="F657" s="3">
        <f>IF(A657="","",MAX(0,D657-E657))</f>
      </c>
      <c r="G657" s="3">
        <f>IF(A657="","",IFERROR(E657/D657,0))</f>
      </c>
      <c r="H657" s="3">
        <f>IF(A657="","",IF(E657&gt;D657,"חריגת קיבולת",IF(E657=D657,"מלא","תקין")))</f>
      </c>
      <c r="I657" s="11"/>
      <c r="J657" s="11"/>
      <c r="K657" s="11"/>
      <c r="L657" s="11"/>
    </row>
    <row r="658" spans="1:12" x14ac:dyDescent="0.25">
      <c r="A658" s="11"/>
      <c r="B658" s="11"/>
      <c r="C658" s="11"/>
      <c r="D658" s="11"/>
      <c r="E658" s="3">
        <f>IF(A658="","",COUNTIF('02_Guest_Database'!F2:F999,A658))</f>
      </c>
      <c r="F658" s="3">
        <f>IF(A658="","",MAX(0,D658-E658))</f>
      </c>
      <c r="G658" s="3">
        <f>IF(A658="","",IFERROR(E658/D658,0))</f>
      </c>
      <c r="H658" s="3">
        <f>IF(A658="","",IF(E658&gt;D658,"חריגת קיבולת",IF(E658=D658,"מלא","תקין")))</f>
      </c>
      <c r="I658" s="11"/>
      <c r="J658" s="11"/>
      <c r="K658" s="11"/>
      <c r="L658" s="11"/>
    </row>
    <row r="659" spans="1:12" x14ac:dyDescent="0.25">
      <c r="A659" s="11"/>
      <c r="B659" s="11"/>
      <c r="C659" s="11"/>
      <c r="D659" s="11"/>
      <c r="E659" s="3">
        <f>IF(A659="","",COUNTIF('02_Guest_Database'!F2:F999,A659))</f>
      </c>
      <c r="F659" s="3">
        <f>IF(A659="","",MAX(0,D659-E659))</f>
      </c>
      <c r="G659" s="3">
        <f>IF(A659="","",IFERROR(E659/D659,0))</f>
      </c>
      <c r="H659" s="3">
        <f>IF(A659="","",IF(E659&gt;D659,"חריגת קיבולת",IF(E659=D659,"מלא","תקין")))</f>
      </c>
      <c r="I659" s="11"/>
      <c r="J659" s="11"/>
      <c r="K659" s="11"/>
      <c r="L659" s="11"/>
    </row>
    <row r="660" spans="1:12" x14ac:dyDescent="0.25">
      <c r="A660" s="11"/>
      <c r="B660" s="11"/>
      <c r="C660" s="11"/>
      <c r="D660" s="11"/>
      <c r="E660" s="3">
        <f>IF(A660="","",COUNTIF('02_Guest_Database'!F2:F999,A660))</f>
      </c>
      <c r="F660" s="3">
        <f>IF(A660="","",MAX(0,D660-E660))</f>
      </c>
      <c r="G660" s="3">
        <f>IF(A660="","",IFERROR(E660/D660,0))</f>
      </c>
      <c r="H660" s="3">
        <f>IF(A660="","",IF(E660&gt;D660,"חריגת קיבולת",IF(E660=D660,"מלא","תקין")))</f>
      </c>
      <c r="I660" s="11"/>
      <c r="J660" s="11"/>
      <c r="K660" s="11"/>
      <c r="L660" s="11"/>
    </row>
    <row r="661" spans="1:12" x14ac:dyDescent="0.25">
      <c r="A661" s="11"/>
      <c r="B661" s="11"/>
      <c r="C661" s="11"/>
      <c r="D661" s="11"/>
      <c r="E661" s="3">
        <f>IF(A661="","",COUNTIF('02_Guest_Database'!F2:F999,A661))</f>
      </c>
      <c r="F661" s="3">
        <f>IF(A661="","",MAX(0,D661-E661))</f>
      </c>
      <c r="G661" s="3">
        <f>IF(A661="","",IFERROR(E661/D661,0))</f>
      </c>
      <c r="H661" s="3">
        <f>IF(A661="","",IF(E661&gt;D661,"חריגת קיבולת",IF(E661=D661,"מלא","תקין")))</f>
      </c>
      <c r="I661" s="11"/>
      <c r="J661" s="11"/>
      <c r="K661" s="11"/>
      <c r="L661" s="11"/>
    </row>
    <row r="662" spans="1:12" x14ac:dyDescent="0.25">
      <c r="A662" s="11"/>
      <c r="B662" s="11"/>
      <c r="C662" s="11"/>
      <c r="D662" s="11"/>
      <c r="E662" s="3">
        <f>IF(A662="","",COUNTIF('02_Guest_Database'!F2:F999,A662))</f>
      </c>
      <c r="F662" s="3">
        <f>IF(A662="","",MAX(0,D662-E662))</f>
      </c>
      <c r="G662" s="3">
        <f>IF(A662="","",IFERROR(E662/D662,0))</f>
      </c>
      <c r="H662" s="3">
        <f>IF(A662="","",IF(E662&gt;D662,"חריגת קיבולת",IF(E662=D662,"מלא","תקין")))</f>
      </c>
      <c r="I662" s="11"/>
      <c r="J662" s="11"/>
      <c r="K662" s="11"/>
      <c r="L662" s="11"/>
    </row>
    <row r="663" spans="1:12" x14ac:dyDescent="0.25">
      <c r="A663" s="11"/>
      <c r="B663" s="11"/>
      <c r="C663" s="11"/>
      <c r="D663" s="11"/>
      <c r="E663" s="3">
        <f>IF(A663="","",COUNTIF('02_Guest_Database'!F2:F999,A663))</f>
      </c>
      <c r="F663" s="3">
        <f>IF(A663="","",MAX(0,D663-E663))</f>
      </c>
      <c r="G663" s="3">
        <f>IF(A663="","",IFERROR(E663/D663,0))</f>
      </c>
      <c r="H663" s="3">
        <f>IF(A663="","",IF(E663&gt;D663,"חריגת קיבולת",IF(E663=D663,"מלא","תקין")))</f>
      </c>
      <c r="I663" s="11"/>
      <c r="J663" s="11"/>
      <c r="K663" s="11"/>
      <c r="L663" s="11"/>
    </row>
    <row r="664" spans="1:12" x14ac:dyDescent="0.25">
      <c r="A664" s="11"/>
      <c r="B664" s="11"/>
      <c r="C664" s="11"/>
      <c r="D664" s="11"/>
      <c r="E664" s="3">
        <f>IF(A664="","",COUNTIF('02_Guest_Database'!F2:F999,A664))</f>
      </c>
      <c r="F664" s="3">
        <f>IF(A664="","",MAX(0,D664-E664))</f>
      </c>
      <c r="G664" s="3">
        <f>IF(A664="","",IFERROR(E664/D664,0))</f>
      </c>
      <c r="H664" s="3">
        <f>IF(A664="","",IF(E664&gt;D664,"חריגת קיבולת",IF(E664=D664,"מלא","תקין")))</f>
      </c>
      <c r="I664" s="11"/>
      <c r="J664" s="11"/>
      <c r="K664" s="11"/>
      <c r="L664" s="11"/>
    </row>
    <row r="665" spans="1:12" x14ac:dyDescent="0.25">
      <c r="A665" s="11"/>
      <c r="B665" s="11"/>
      <c r="C665" s="11"/>
      <c r="D665" s="11"/>
      <c r="E665" s="3">
        <f>IF(A665="","",COUNTIF('02_Guest_Database'!F2:F999,A665))</f>
      </c>
      <c r="F665" s="3">
        <f>IF(A665="","",MAX(0,D665-E665))</f>
      </c>
      <c r="G665" s="3">
        <f>IF(A665="","",IFERROR(E665/D665,0))</f>
      </c>
      <c r="H665" s="3">
        <f>IF(A665="","",IF(E665&gt;D665,"חריגת קיבולת",IF(E665=D665,"מלא","תקין")))</f>
      </c>
      <c r="I665" s="11"/>
      <c r="J665" s="11"/>
      <c r="K665" s="11"/>
      <c r="L665" s="11"/>
    </row>
    <row r="666" spans="1:12" x14ac:dyDescent="0.25">
      <c r="A666" s="11"/>
      <c r="B666" s="11"/>
      <c r="C666" s="11"/>
      <c r="D666" s="11"/>
      <c r="E666" s="3">
        <f>IF(A666="","",COUNTIF('02_Guest_Database'!F2:F999,A666))</f>
      </c>
      <c r="F666" s="3">
        <f>IF(A666="","",MAX(0,D666-E666))</f>
      </c>
      <c r="G666" s="3">
        <f>IF(A666="","",IFERROR(E666/D666,0))</f>
      </c>
      <c r="H666" s="3">
        <f>IF(A666="","",IF(E666&gt;D666,"חריגת קיבולת",IF(E666=D666,"מלא","תקין")))</f>
      </c>
      <c r="I666" s="11"/>
      <c r="J666" s="11"/>
      <c r="K666" s="11"/>
      <c r="L666" s="11"/>
    </row>
    <row r="667" spans="1:12" x14ac:dyDescent="0.25">
      <c r="A667" s="11"/>
      <c r="B667" s="11"/>
      <c r="C667" s="11"/>
      <c r="D667" s="11"/>
      <c r="E667" s="3">
        <f>IF(A667="","",COUNTIF('02_Guest_Database'!F2:F999,A667))</f>
      </c>
      <c r="F667" s="3">
        <f>IF(A667="","",MAX(0,D667-E667))</f>
      </c>
      <c r="G667" s="3">
        <f>IF(A667="","",IFERROR(E667/D667,0))</f>
      </c>
      <c r="H667" s="3">
        <f>IF(A667="","",IF(E667&gt;D667,"חריגת קיבולת",IF(E667=D667,"מלא","תקין")))</f>
      </c>
      <c r="I667" s="11"/>
      <c r="J667" s="11"/>
      <c r="K667" s="11"/>
      <c r="L667" s="11"/>
    </row>
    <row r="668" spans="1:12" x14ac:dyDescent="0.25">
      <c r="A668" s="11"/>
      <c r="B668" s="11"/>
      <c r="C668" s="11"/>
      <c r="D668" s="11"/>
      <c r="E668" s="3">
        <f>IF(A668="","",COUNTIF('02_Guest_Database'!F2:F999,A668))</f>
      </c>
      <c r="F668" s="3">
        <f>IF(A668="","",MAX(0,D668-E668))</f>
      </c>
      <c r="G668" s="3">
        <f>IF(A668="","",IFERROR(E668/D668,0))</f>
      </c>
      <c r="H668" s="3">
        <f>IF(A668="","",IF(E668&gt;D668,"חריגת קיבולת",IF(E668=D668,"מלא","תקין")))</f>
      </c>
      <c r="I668" s="11"/>
      <c r="J668" s="11"/>
      <c r="K668" s="11"/>
      <c r="L668" s="11"/>
    </row>
    <row r="669" spans="1:12" x14ac:dyDescent="0.25">
      <c r="A669" s="11"/>
      <c r="B669" s="11"/>
      <c r="C669" s="11"/>
      <c r="D669" s="11"/>
      <c r="E669" s="3">
        <f>IF(A669="","",COUNTIF('02_Guest_Database'!F2:F999,A669))</f>
      </c>
      <c r="F669" s="3">
        <f>IF(A669="","",MAX(0,D669-E669))</f>
      </c>
      <c r="G669" s="3">
        <f>IF(A669="","",IFERROR(E669/D669,0))</f>
      </c>
      <c r="H669" s="3">
        <f>IF(A669="","",IF(E669&gt;D669,"חריגת קיבולת",IF(E669=D669,"מלא","תקין")))</f>
      </c>
      <c r="I669" s="11"/>
      <c r="J669" s="11"/>
      <c r="K669" s="11"/>
      <c r="L669" s="11"/>
    </row>
    <row r="670" spans="1:12" x14ac:dyDescent="0.25">
      <c r="A670" s="11"/>
      <c r="B670" s="11"/>
      <c r="C670" s="11"/>
      <c r="D670" s="11"/>
      <c r="E670" s="3">
        <f>IF(A670="","",COUNTIF('02_Guest_Database'!F2:F999,A670))</f>
      </c>
      <c r="F670" s="3">
        <f>IF(A670="","",MAX(0,D670-E670))</f>
      </c>
      <c r="G670" s="3">
        <f>IF(A670="","",IFERROR(E670/D670,0))</f>
      </c>
      <c r="H670" s="3">
        <f>IF(A670="","",IF(E670&gt;D670,"חריגת קיבולת",IF(E670=D670,"מלא","תקין")))</f>
      </c>
      <c r="I670" s="11"/>
      <c r="J670" s="11"/>
      <c r="K670" s="11"/>
      <c r="L670" s="11"/>
    </row>
    <row r="671" spans="1:12" x14ac:dyDescent="0.25">
      <c r="A671" s="11"/>
      <c r="B671" s="11"/>
      <c r="C671" s="11"/>
      <c r="D671" s="11"/>
      <c r="E671" s="3">
        <f>IF(A671="","",COUNTIF('02_Guest_Database'!F2:F999,A671))</f>
      </c>
      <c r="F671" s="3">
        <f>IF(A671="","",MAX(0,D671-E671))</f>
      </c>
      <c r="G671" s="3">
        <f>IF(A671="","",IFERROR(E671/D671,0))</f>
      </c>
      <c r="H671" s="3">
        <f>IF(A671="","",IF(E671&gt;D671,"חריגת קיבולת",IF(E671=D671,"מלא","תקין")))</f>
      </c>
      <c r="I671" s="11"/>
      <c r="J671" s="11"/>
      <c r="K671" s="11"/>
      <c r="L671" s="11"/>
    </row>
    <row r="672" spans="1:12" x14ac:dyDescent="0.25">
      <c r="A672" s="11"/>
      <c r="B672" s="11"/>
      <c r="C672" s="11"/>
      <c r="D672" s="11"/>
      <c r="E672" s="3">
        <f>IF(A672="","",COUNTIF('02_Guest_Database'!F2:F999,A672))</f>
      </c>
      <c r="F672" s="3">
        <f>IF(A672="","",MAX(0,D672-E672))</f>
      </c>
      <c r="G672" s="3">
        <f>IF(A672="","",IFERROR(E672/D672,0))</f>
      </c>
      <c r="H672" s="3">
        <f>IF(A672="","",IF(E672&gt;D672,"חריגת קיבולת",IF(E672=D672,"מלא","תקין")))</f>
      </c>
      <c r="I672" s="11"/>
      <c r="J672" s="11"/>
      <c r="K672" s="11"/>
      <c r="L672" s="11"/>
    </row>
    <row r="673" spans="1:12" x14ac:dyDescent="0.25">
      <c r="A673" s="11"/>
      <c r="B673" s="11"/>
      <c r="C673" s="11"/>
      <c r="D673" s="11"/>
      <c r="E673" s="3">
        <f>IF(A673="","",COUNTIF('02_Guest_Database'!F2:F999,A673))</f>
      </c>
      <c r="F673" s="3">
        <f>IF(A673="","",MAX(0,D673-E673))</f>
      </c>
      <c r="G673" s="3">
        <f>IF(A673="","",IFERROR(E673/D673,0))</f>
      </c>
      <c r="H673" s="3">
        <f>IF(A673="","",IF(E673&gt;D673,"חריגת קיבולת",IF(E673=D673,"מלא","תקין")))</f>
      </c>
      <c r="I673" s="11"/>
      <c r="J673" s="11"/>
      <c r="K673" s="11"/>
      <c r="L673" s="11"/>
    </row>
    <row r="674" spans="1:12" x14ac:dyDescent="0.25">
      <c r="A674" s="11"/>
      <c r="B674" s="11"/>
      <c r="C674" s="11"/>
      <c r="D674" s="11"/>
      <c r="E674" s="3">
        <f>IF(A674="","",COUNTIF('02_Guest_Database'!F2:F999,A674))</f>
      </c>
      <c r="F674" s="3">
        <f>IF(A674="","",MAX(0,D674-E674))</f>
      </c>
      <c r="G674" s="3">
        <f>IF(A674="","",IFERROR(E674/D674,0))</f>
      </c>
      <c r="H674" s="3">
        <f>IF(A674="","",IF(E674&gt;D674,"חריגת קיבולת",IF(E674=D674,"מלא","תקין")))</f>
      </c>
      <c r="I674" s="11"/>
      <c r="J674" s="11"/>
      <c r="K674" s="11"/>
      <c r="L674" s="11"/>
    </row>
    <row r="675" spans="1:12" x14ac:dyDescent="0.25">
      <c r="A675" s="11"/>
      <c r="B675" s="11"/>
      <c r="C675" s="11"/>
      <c r="D675" s="11"/>
      <c r="E675" s="3">
        <f>IF(A675="","",COUNTIF('02_Guest_Database'!F2:F999,A675))</f>
      </c>
      <c r="F675" s="3">
        <f>IF(A675="","",MAX(0,D675-E675))</f>
      </c>
      <c r="G675" s="3">
        <f>IF(A675="","",IFERROR(E675/D675,0))</f>
      </c>
      <c r="H675" s="3">
        <f>IF(A675="","",IF(E675&gt;D675,"חריגת קיבולת",IF(E675=D675,"מלא","תקין")))</f>
      </c>
      <c r="I675" s="11"/>
      <c r="J675" s="11"/>
      <c r="K675" s="11"/>
      <c r="L675" s="11"/>
    </row>
    <row r="676" spans="1:12" x14ac:dyDescent="0.25">
      <c r="A676" s="11"/>
      <c r="B676" s="11"/>
      <c r="C676" s="11"/>
      <c r="D676" s="11"/>
      <c r="E676" s="3">
        <f>IF(A676="","",COUNTIF('02_Guest_Database'!F2:F999,A676))</f>
      </c>
      <c r="F676" s="3">
        <f>IF(A676="","",MAX(0,D676-E676))</f>
      </c>
      <c r="G676" s="3">
        <f>IF(A676="","",IFERROR(E676/D676,0))</f>
      </c>
      <c r="H676" s="3">
        <f>IF(A676="","",IF(E676&gt;D676,"חריגת קיבולת",IF(E676=D676,"מלא","תקין")))</f>
      </c>
      <c r="I676" s="11"/>
      <c r="J676" s="11"/>
      <c r="K676" s="11"/>
      <c r="L676" s="11"/>
    </row>
    <row r="677" spans="1:12" x14ac:dyDescent="0.25">
      <c r="A677" s="11"/>
      <c r="B677" s="11"/>
      <c r="C677" s="11"/>
      <c r="D677" s="11"/>
      <c r="E677" s="3">
        <f>IF(A677="","",COUNTIF('02_Guest_Database'!F2:F999,A677))</f>
      </c>
      <c r="F677" s="3">
        <f>IF(A677="","",MAX(0,D677-E677))</f>
      </c>
      <c r="G677" s="3">
        <f>IF(A677="","",IFERROR(E677/D677,0))</f>
      </c>
      <c r="H677" s="3">
        <f>IF(A677="","",IF(E677&gt;D677,"חריגת קיבולת",IF(E677=D677,"מלא","תקין")))</f>
      </c>
      <c r="I677" s="11"/>
      <c r="J677" s="11"/>
      <c r="K677" s="11"/>
      <c r="L677" s="11"/>
    </row>
    <row r="678" spans="1:12" x14ac:dyDescent="0.25">
      <c r="A678" s="11"/>
      <c r="B678" s="11"/>
      <c r="C678" s="11"/>
      <c r="D678" s="11"/>
      <c r="E678" s="3">
        <f>IF(A678="","",COUNTIF('02_Guest_Database'!F2:F999,A678))</f>
      </c>
      <c r="F678" s="3">
        <f>IF(A678="","",MAX(0,D678-E678))</f>
      </c>
      <c r="G678" s="3">
        <f>IF(A678="","",IFERROR(E678/D678,0))</f>
      </c>
      <c r="H678" s="3">
        <f>IF(A678="","",IF(E678&gt;D678,"חריגת קיבולת",IF(E678=D678,"מלא","תקין")))</f>
      </c>
      <c r="I678" s="11"/>
      <c r="J678" s="11"/>
      <c r="K678" s="11"/>
      <c r="L678" s="11"/>
    </row>
    <row r="679" spans="1:12" x14ac:dyDescent="0.25">
      <c r="A679" s="11"/>
      <c r="B679" s="11"/>
      <c r="C679" s="11"/>
      <c r="D679" s="11"/>
      <c r="E679" s="3">
        <f>IF(A679="","",COUNTIF('02_Guest_Database'!F2:F999,A679))</f>
      </c>
      <c r="F679" s="3">
        <f>IF(A679="","",MAX(0,D679-E679))</f>
      </c>
      <c r="G679" s="3">
        <f>IF(A679="","",IFERROR(E679/D679,0))</f>
      </c>
      <c r="H679" s="3">
        <f>IF(A679="","",IF(E679&gt;D679,"חריגת קיבולת",IF(E679=D679,"מלא","תקין")))</f>
      </c>
      <c r="I679" s="11"/>
      <c r="J679" s="11"/>
      <c r="K679" s="11"/>
      <c r="L679" s="11"/>
    </row>
    <row r="680" spans="1:12" x14ac:dyDescent="0.25">
      <c r="A680" s="11"/>
      <c r="B680" s="11"/>
      <c r="C680" s="11"/>
      <c r="D680" s="11"/>
      <c r="E680" s="3">
        <f>IF(A680="","",COUNTIF('02_Guest_Database'!F2:F999,A680))</f>
      </c>
      <c r="F680" s="3">
        <f>IF(A680="","",MAX(0,D680-E680))</f>
      </c>
      <c r="G680" s="3">
        <f>IF(A680="","",IFERROR(E680/D680,0))</f>
      </c>
      <c r="H680" s="3">
        <f>IF(A680="","",IF(E680&gt;D680,"חריגת קיבולת",IF(E680=D680,"מלא","תקין")))</f>
      </c>
      <c r="I680" s="11"/>
      <c r="J680" s="11"/>
      <c r="K680" s="11"/>
      <c r="L680" s="11"/>
    </row>
    <row r="681" spans="1:12" x14ac:dyDescent="0.25">
      <c r="A681" s="11"/>
      <c r="B681" s="11"/>
      <c r="C681" s="11"/>
      <c r="D681" s="11"/>
      <c r="E681" s="3">
        <f>IF(A681="","",COUNTIF('02_Guest_Database'!F2:F999,A681))</f>
      </c>
      <c r="F681" s="3">
        <f>IF(A681="","",MAX(0,D681-E681))</f>
      </c>
      <c r="G681" s="3">
        <f>IF(A681="","",IFERROR(E681/D681,0))</f>
      </c>
      <c r="H681" s="3">
        <f>IF(A681="","",IF(E681&gt;D681,"חריגת קיבולת",IF(E681=D681,"מלא","תקין")))</f>
      </c>
      <c r="I681" s="11"/>
      <c r="J681" s="11"/>
      <c r="K681" s="11"/>
      <c r="L681" s="11"/>
    </row>
    <row r="682" spans="1:12" x14ac:dyDescent="0.25">
      <c r="A682" s="11"/>
      <c r="B682" s="11"/>
      <c r="C682" s="11"/>
      <c r="D682" s="11"/>
      <c r="E682" s="3">
        <f>IF(A682="","",COUNTIF('02_Guest_Database'!F2:F999,A682))</f>
      </c>
      <c r="F682" s="3">
        <f>IF(A682="","",MAX(0,D682-E682))</f>
      </c>
      <c r="G682" s="3">
        <f>IF(A682="","",IFERROR(E682/D682,0))</f>
      </c>
      <c r="H682" s="3">
        <f>IF(A682="","",IF(E682&gt;D682,"חריגת קיבולת",IF(E682=D682,"מלא","תקין")))</f>
      </c>
      <c r="I682" s="11"/>
      <c r="J682" s="11"/>
      <c r="K682" s="11"/>
      <c r="L682" s="11"/>
    </row>
    <row r="683" spans="1:12" x14ac:dyDescent="0.25">
      <c r="A683" s="11"/>
      <c r="B683" s="11"/>
      <c r="C683" s="11"/>
      <c r="D683" s="11"/>
      <c r="E683" s="3">
        <f>IF(A683="","",COUNTIF('02_Guest_Database'!F2:F999,A683))</f>
      </c>
      <c r="F683" s="3">
        <f>IF(A683="","",MAX(0,D683-E683))</f>
      </c>
      <c r="G683" s="3">
        <f>IF(A683="","",IFERROR(E683/D683,0))</f>
      </c>
      <c r="H683" s="3">
        <f>IF(A683="","",IF(E683&gt;D683,"חריגת קיבולת",IF(E683=D683,"מלא","תקין")))</f>
      </c>
      <c r="I683" s="11"/>
      <c r="J683" s="11"/>
      <c r="K683" s="11"/>
      <c r="L683" s="11"/>
    </row>
    <row r="684" spans="1:12" x14ac:dyDescent="0.25">
      <c r="A684" s="11"/>
      <c r="B684" s="11"/>
      <c r="C684" s="11"/>
      <c r="D684" s="11"/>
      <c r="E684" s="3">
        <f>IF(A684="","",COUNTIF('02_Guest_Database'!F2:F999,A684))</f>
      </c>
      <c r="F684" s="3">
        <f>IF(A684="","",MAX(0,D684-E684))</f>
      </c>
      <c r="G684" s="3">
        <f>IF(A684="","",IFERROR(E684/D684,0))</f>
      </c>
      <c r="H684" s="3">
        <f>IF(A684="","",IF(E684&gt;D684,"חריגת קיבולת",IF(E684=D684,"מלא","תקין")))</f>
      </c>
      <c r="I684" s="11"/>
      <c r="J684" s="11"/>
      <c r="K684" s="11"/>
      <c r="L684" s="11"/>
    </row>
    <row r="685" spans="1:12" x14ac:dyDescent="0.25">
      <c r="A685" s="11"/>
      <c r="B685" s="11"/>
      <c r="C685" s="11"/>
      <c r="D685" s="11"/>
      <c r="E685" s="3">
        <f>IF(A685="","",COUNTIF('02_Guest_Database'!F2:F999,A685))</f>
      </c>
      <c r="F685" s="3">
        <f>IF(A685="","",MAX(0,D685-E685))</f>
      </c>
      <c r="G685" s="3">
        <f>IF(A685="","",IFERROR(E685/D685,0))</f>
      </c>
      <c r="H685" s="3">
        <f>IF(A685="","",IF(E685&gt;D685,"חריגת קיבולת",IF(E685=D685,"מלא","תקין")))</f>
      </c>
      <c r="I685" s="11"/>
      <c r="J685" s="11"/>
      <c r="K685" s="11"/>
      <c r="L685" s="11"/>
    </row>
    <row r="686" spans="1:12" x14ac:dyDescent="0.25">
      <c r="A686" s="11"/>
      <c r="B686" s="11"/>
      <c r="C686" s="11"/>
      <c r="D686" s="11"/>
      <c r="E686" s="3">
        <f>IF(A686="","",COUNTIF('02_Guest_Database'!F2:F999,A686))</f>
      </c>
      <c r="F686" s="3">
        <f>IF(A686="","",MAX(0,D686-E686))</f>
      </c>
      <c r="G686" s="3">
        <f>IF(A686="","",IFERROR(E686/D686,0))</f>
      </c>
      <c r="H686" s="3">
        <f>IF(A686="","",IF(E686&gt;D686,"חריגת קיבולת",IF(E686=D686,"מלא","תקין")))</f>
      </c>
      <c r="I686" s="11"/>
      <c r="J686" s="11"/>
      <c r="K686" s="11"/>
      <c r="L686" s="11"/>
    </row>
    <row r="687" spans="1:12" x14ac:dyDescent="0.25">
      <c r="A687" s="11"/>
      <c r="B687" s="11"/>
      <c r="C687" s="11"/>
      <c r="D687" s="11"/>
      <c r="E687" s="3">
        <f>IF(A687="","",COUNTIF('02_Guest_Database'!F2:F999,A687))</f>
      </c>
      <c r="F687" s="3">
        <f>IF(A687="","",MAX(0,D687-E687))</f>
      </c>
      <c r="G687" s="3">
        <f>IF(A687="","",IFERROR(E687/D687,0))</f>
      </c>
      <c r="H687" s="3">
        <f>IF(A687="","",IF(E687&gt;D687,"חריגת קיבולת",IF(E687=D687,"מלא","תקין")))</f>
      </c>
      <c r="I687" s="11"/>
      <c r="J687" s="11"/>
      <c r="K687" s="11"/>
      <c r="L687" s="11"/>
    </row>
    <row r="688" spans="1:12" x14ac:dyDescent="0.25">
      <c r="A688" s="11"/>
      <c r="B688" s="11"/>
      <c r="C688" s="11"/>
      <c r="D688" s="11"/>
      <c r="E688" s="3">
        <f>IF(A688="","",COUNTIF('02_Guest_Database'!F2:F999,A688))</f>
      </c>
      <c r="F688" s="3">
        <f>IF(A688="","",MAX(0,D688-E688))</f>
      </c>
      <c r="G688" s="3">
        <f>IF(A688="","",IFERROR(E688/D688,0))</f>
      </c>
      <c r="H688" s="3">
        <f>IF(A688="","",IF(E688&gt;D688,"חריגת קיבולת",IF(E688=D688,"מלא","תקין")))</f>
      </c>
      <c r="I688" s="11"/>
      <c r="J688" s="11"/>
      <c r="K688" s="11"/>
      <c r="L688" s="11"/>
    </row>
    <row r="689" spans="1:12" x14ac:dyDescent="0.25">
      <c r="A689" s="11"/>
      <c r="B689" s="11"/>
      <c r="C689" s="11"/>
      <c r="D689" s="11"/>
      <c r="E689" s="3">
        <f>IF(A689="","",COUNTIF('02_Guest_Database'!F2:F999,A689))</f>
      </c>
      <c r="F689" s="3">
        <f>IF(A689="","",MAX(0,D689-E689))</f>
      </c>
      <c r="G689" s="3">
        <f>IF(A689="","",IFERROR(E689/D689,0))</f>
      </c>
      <c r="H689" s="3">
        <f>IF(A689="","",IF(E689&gt;D689,"חריגת קיבולת",IF(E689=D689,"מלא","תקין")))</f>
      </c>
      <c r="I689" s="11"/>
      <c r="J689" s="11"/>
      <c r="K689" s="11"/>
      <c r="L689" s="11"/>
    </row>
    <row r="690" spans="1:12" x14ac:dyDescent="0.25">
      <c r="A690" s="11"/>
      <c r="B690" s="11"/>
      <c r="C690" s="11"/>
      <c r="D690" s="11"/>
      <c r="E690" s="3">
        <f>IF(A690="","",COUNTIF('02_Guest_Database'!F2:F999,A690))</f>
      </c>
      <c r="F690" s="3">
        <f>IF(A690="","",MAX(0,D690-E690))</f>
      </c>
      <c r="G690" s="3">
        <f>IF(A690="","",IFERROR(E690/D690,0))</f>
      </c>
      <c r="H690" s="3">
        <f>IF(A690="","",IF(E690&gt;D690,"חריגת קיבולת",IF(E690=D690,"מלא","תקין")))</f>
      </c>
      <c r="I690" s="11"/>
      <c r="J690" s="11"/>
      <c r="K690" s="11"/>
      <c r="L690" s="11"/>
    </row>
    <row r="691" spans="1:12" x14ac:dyDescent="0.25">
      <c r="A691" s="11"/>
      <c r="B691" s="11"/>
      <c r="C691" s="11"/>
      <c r="D691" s="11"/>
      <c r="E691" s="3">
        <f>IF(A691="","",COUNTIF('02_Guest_Database'!F2:F999,A691))</f>
      </c>
      <c r="F691" s="3">
        <f>IF(A691="","",MAX(0,D691-E691))</f>
      </c>
      <c r="G691" s="3">
        <f>IF(A691="","",IFERROR(E691/D691,0))</f>
      </c>
      <c r="H691" s="3">
        <f>IF(A691="","",IF(E691&gt;D691,"חריגת קיבולת",IF(E691=D691,"מלא","תקין")))</f>
      </c>
      <c r="I691" s="11"/>
      <c r="J691" s="11"/>
      <c r="K691" s="11"/>
      <c r="L691" s="11"/>
    </row>
    <row r="692" spans="1:12" x14ac:dyDescent="0.25">
      <c r="A692" s="11"/>
      <c r="B692" s="11"/>
      <c r="C692" s="11"/>
      <c r="D692" s="11"/>
      <c r="E692" s="3">
        <f>IF(A692="","",COUNTIF('02_Guest_Database'!F2:F999,A692))</f>
      </c>
      <c r="F692" s="3">
        <f>IF(A692="","",MAX(0,D692-E692))</f>
      </c>
      <c r="G692" s="3">
        <f>IF(A692="","",IFERROR(E692/D692,0))</f>
      </c>
      <c r="H692" s="3">
        <f>IF(A692="","",IF(E692&gt;D692,"חריגת קיבולת",IF(E692=D692,"מלא","תקין")))</f>
      </c>
      <c r="I692" s="11"/>
      <c r="J692" s="11"/>
      <c r="K692" s="11"/>
      <c r="L692" s="11"/>
    </row>
    <row r="693" spans="1:12" x14ac:dyDescent="0.25">
      <c r="A693" s="11"/>
      <c r="B693" s="11"/>
      <c r="C693" s="11"/>
      <c r="D693" s="11"/>
      <c r="E693" s="3">
        <f>IF(A693="","",COUNTIF('02_Guest_Database'!F2:F999,A693))</f>
      </c>
      <c r="F693" s="3">
        <f>IF(A693="","",MAX(0,D693-E693))</f>
      </c>
      <c r="G693" s="3">
        <f>IF(A693="","",IFERROR(E693/D693,0))</f>
      </c>
      <c r="H693" s="3">
        <f>IF(A693="","",IF(E693&gt;D693,"חריגת קיבולת",IF(E693=D693,"מלא","תקין")))</f>
      </c>
      <c r="I693" s="11"/>
      <c r="J693" s="11"/>
      <c r="K693" s="11"/>
      <c r="L693" s="11"/>
    </row>
    <row r="694" spans="1:12" x14ac:dyDescent="0.25">
      <c r="A694" s="11"/>
      <c r="B694" s="11"/>
      <c r="C694" s="11"/>
      <c r="D694" s="11"/>
      <c r="E694" s="3">
        <f>IF(A694="","",COUNTIF('02_Guest_Database'!F2:F999,A694))</f>
      </c>
      <c r="F694" s="3">
        <f>IF(A694="","",MAX(0,D694-E694))</f>
      </c>
      <c r="G694" s="3">
        <f>IF(A694="","",IFERROR(E694/D694,0))</f>
      </c>
      <c r="H694" s="3">
        <f>IF(A694="","",IF(E694&gt;D694,"חריגת קיבולת",IF(E694=D694,"מלא","תקין")))</f>
      </c>
      <c r="I694" s="11"/>
      <c r="J694" s="11"/>
      <c r="K694" s="11"/>
      <c r="L694" s="11"/>
    </row>
    <row r="695" spans="1:12" x14ac:dyDescent="0.25">
      <c r="A695" s="11"/>
      <c r="B695" s="11"/>
      <c r="C695" s="11"/>
      <c r="D695" s="11"/>
      <c r="E695" s="3">
        <f>IF(A695="","",COUNTIF('02_Guest_Database'!F2:F999,A695))</f>
      </c>
      <c r="F695" s="3">
        <f>IF(A695="","",MAX(0,D695-E695))</f>
      </c>
      <c r="G695" s="3">
        <f>IF(A695="","",IFERROR(E695/D695,0))</f>
      </c>
      <c r="H695" s="3">
        <f>IF(A695="","",IF(E695&gt;D695,"חריגת קיבולת",IF(E695=D695,"מלא","תקין")))</f>
      </c>
      <c r="I695" s="11"/>
      <c r="J695" s="11"/>
      <c r="K695" s="11"/>
      <c r="L695" s="11"/>
    </row>
    <row r="696" spans="1:12" x14ac:dyDescent="0.25">
      <c r="A696" s="11"/>
      <c r="B696" s="11"/>
      <c r="C696" s="11"/>
      <c r="D696" s="11"/>
      <c r="E696" s="3">
        <f>IF(A696="","",COUNTIF('02_Guest_Database'!F2:F999,A696))</f>
      </c>
      <c r="F696" s="3">
        <f>IF(A696="","",MAX(0,D696-E696))</f>
      </c>
      <c r="G696" s="3">
        <f>IF(A696="","",IFERROR(E696/D696,0))</f>
      </c>
      <c r="H696" s="3">
        <f>IF(A696="","",IF(E696&gt;D696,"חריגת קיבולת",IF(E696=D696,"מלא","תקין")))</f>
      </c>
      <c r="I696" s="11"/>
      <c r="J696" s="11"/>
      <c r="K696" s="11"/>
      <c r="L696" s="11"/>
    </row>
    <row r="697" spans="1:12" x14ac:dyDescent="0.25">
      <c r="A697" s="11"/>
      <c r="B697" s="11"/>
      <c r="C697" s="11"/>
      <c r="D697" s="11"/>
      <c r="E697" s="3">
        <f>IF(A697="","",COUNTIF('02_Guest_Database'!F2:F999,A697))</f>
      </c>
      <c r="F697" s="3">
        <f>IF(A697="","",MAX(0,D697-E697))</f>
      </c>
      <c r="G697" s="3">
        <f>IF(A697="","",IFERROR(E697/D697,0))</f>
      </c>
      <c r="H697" s="3">
        <f>IF(A697="","",IF(E697&gt;D697,"חריגת קיבולת",IF(E697=D697,"מלא","תקין")))</f>
      </c>
      <c r="I697" s="11"/>
      <c r="J697" s="11"/>
      <c r="K697" s="11"/>
      <c r="L697" s="11"/>
    </row>
    <row r="698" spans="1:12" x14ac:dyDescent="0.25">
      <c r="A698" s="11"/>
      <c r="B698" s="11"/>
      <c r="C698" s="11"/>
      <c r="D698" s="11"/>
      <c r="E698" s="3">
        <f>IF(A698="","",COUNTIF('02_Guest_Database'!F2:F999,A698))</f>
      </c>
      <c r="F698" s="3">
        <f>IF(A698="","",MAX(0,D698-E698))</f>
      </c>
      <c r="G698" s="3">
        <f>IF(A698="","",IFERROR(E698/D698,0))</f>
      </c>
      <c r="H698" s="3">
        <f>IF(A698="","",IF(E698&gt;D698,"חריגת קיבולת",IF(E698=D698,"מלא","תקין")))</f>
      </c>
      <c r="I698" s="11"/>
      <c r="J698" s="11"/>
      <c r="K698" s="11"/>
      <c r="L698" s="11"/>
    </row>
    <row r="699" spans="1:12" x14ac:dyDescent="0.25">
      <c r="A699" s="11"/>
      <c r="B699" s="11"/>
      <c r="C699" s="11"/>
      <c r="D699" s="11"/>
      <c r="E699" s="3">
        <f>IF(A699="","",COUNTIF('02_Guest_Database'!F2:F999,A699))</f>
      </c>
      <c r="F699" s="3">
        <f>IF(A699="","",MAX(0,D699-E699))</f>
      </c>
      <c r="G699" s="3">
        <f>IF(A699="","",IFERROR(E699/D699,0))</f>
      </c>
      <c r="H699" s="3">
        <f>IF(A699="","",IF(E699&gt;D699,"חריגת קיבולת",IF(E699=D699,"מלא","תקין")))</f>
      </c>
      <c r="I699" s="11"/>
      <c r="J699" s="11"/>
      <c r="K699" s="11"/>
      <c r="L699" s="11"/>
    </row>
    <row r="700" spans="1:12" x14ac:dyDescent="0.25">
      <c r="A700" s="11"/>
      <c r="B700" s="11"/>
      <c r="C700" s="11"/>
      <c r="D700" s="11"/>
      <c r="E700" s="3">
        <f>IF(A700="","",COUNTIF('02_Guest_Database'!F2:F999,A700))</f>
      </c>
      <c r="F700" s="3">
        <f>IF(A700="","",MAX(0,D700-E700))</f>
      </c>
      <c r="G700" s="3">
        <f>IF(A700="","",IFERROR(E700/D700,0))</f>
      </c>
      <c r="H700" s="3">
        <f>IF(A700="","",IF(E700&gt;D700,"חריגת קיבולת",IF(E700=D700,"מלא","תקין")))</f>
      </c>
      <c r="I700" s="11"/>
      <c r="J700" s="11"/>
      <c r="K700" s="11"/>
      <c r="L700" s="11"/>
    </row>
    <row r="701" spans="1:12" x14ac:dyDescent="0.25">
      <c r="A701" s="11"/>
      <c r="B701" s="11"/>
      <c r="C701" s="11"/>
      <c r="D701" s="11"/>
      <c r="E701" s="3">
        <f>IF(A701="","",COUNTIF('02_Guest_Database'!F2:F999,A701))</f>
      </c>
      <c r="F701" s="3">
        <f>IF(A701="","",MAX(0,D701-E701))</f>
      </c>
      <c r="G701" s="3">
        <f>IF(A701="","",IFERROR(E701/D701,0))</f>
      </c>
      <c r="H701" s="3">
        <f>IF(A701="","",IF(E701&gt;D701,"חריגת קיבולת",IF(E701=D701,"מלא","תקין")))</f>
      </c>
      <c r="I701" s="11"/>
      <c r="J701" s="11"/>
      <c r="K701" s="11"/>
      <c r="L701" s="11"/>
    </row>
    <row r="702" spans="1:12" x14ac:dyDescent="0.25">
      <c r="A702" s="11"/>
      <c r="B702" s="11"/>
      <c r="C702" s="11"/>
      <c r="D702" s="11"/>
      <c r="E702" s="3">
        <f>IF(A702="","",COUNTIF('02_Guest_Database'!F2:F999,A702))</f>
      </c>
      <c r="F702" s="3">
        <f>IF(A702="","",MAX(0,D702-E702))</f>
      </c>
      <c r="G702" s="3">
        <f>IF(A702="","",IFERROR(E702/D702,0))</f>
      </c>
      <c r="H702" s="3">
        <f>IF(A702="","",IF(E702&gt;D702,"חריגת קיבולת",IF(E702=D702,"מלא","תקין")))</f>
      </c>
      <c r="I702" s="11"/>
      <c r="J702" s="11"/>
      <c r="K702" s="11"/>
      <c r="L702" s="11"/>
    </row>
    <row r="703" spans="1:12" x14ac:dyDescent="0.25">
      <c r="A703" s="11"/>
      <c r="B703" s="11"/>
      <c r="C703" s="11"/>
      <c r="D703" s="11"/>
      <c r="E703" s="3">
        <f>IF(A703="","",COUNTIF('02_Guest_Database'!F2:F999,A703))</f>
      </c>
      <c r="F703" s="3">
        <f>IF(A703="","",MAX(0,D703-E703))</f>
      </c>
      <c r="G703" s="3">
        <f>IF(A703="","",IFERROR(E703/D703,0))</f>
      </c>
      <c r="H703" s="3">
        <f>IF(A703="","",IF(E703&gt;D703,"חריגת קיבולת",IF(E703=D703,"מלא","תקין")))</f>
      </c>
      <c r="I703" s="11"/>
      <c r="J703" s="11"/>
      <c r="K703" s="11"/>
      <c r="L703" s="11"/>
    </row>
    <row r="704" spans="1:12" x14ac:dyDescent="0.25">
      <c r="A704" s="11"/>
      <c r="B704" s="11"/>
      <c r="C704" s="11"/>
      <c r="D704" s="11"/>
      <c r="E704" s="3">
        <f>IF(A704="","",COUNTIF('02_Guest_Database'!F2:F999,A704))</f>
      </c>
      <c r="F704" s="3">
        <f>IF(A704="","",MAX(0,D704-E704))</f>
      </c>
      <c r="G704" s="3">
        <f>IF(A704="","",IFERROR(E704/D704,0))</f>
      </c>
      <c r="H704" s="3">
        <f>IF(A704="","",IF(E704&gt;D704,"חריגת קיבולת",IF(E704=D704,"מלא","תקין")))</f>
      </c>
      <c r="I704" s="11"/>
      <c r="J704" s="11"/>
      <c r="K704" s="11"/>
      <c r="L704" s="11"/>
    </row>
    <row r="705" spans="1:12" x14ac:dyDescent="0.25">
      <c r="A705" s="11"/>
      <c r="B705" s="11"/>
      <c r="C705" s="11"/>
      <c r="D705" s="11"/>
      <c r="E705" s="3">
        <f>IF(A705="","",COUNTIF('02_Guest_Database'!F2:F999,A705))</f>
      </c>
      <c r="F705" s="3">
        <f>IF(A705="","",MAX(0,D705-E705))</f>
      </c>
      <c r="G705" s="3">
        <f>IF(A705="","",IFERROR(E705/D705,0))</f>
      </c>
      <c r="H705" s="3">
        <f>IF(A705="","",IF(E705&gt;D705,"חריגת קיבולת",IF(E705=D705,"מלא","תקין")))</f>
      </c>
      <c r="I705" s="11"/>
      <c r="J705" s="11"/>
      <c r="K705" s="11"/>
      <c r="L705" s="11"/>
    </row>
    <row r="706" spans="1:12" x14ac:dyDescent="0.25">
      <c r="A706" s="11"/>
      <c r="B706" s="11"/>
      <c r="C706" s="11"/>
      <c r="D706" s="11"/>
      <c r="E706" s="3">
        <f>IF(A706="","",COUNTIF('02_Guest_Database'!F2:F999,A706))</f>
      </c>
      <c r="F706" s="3">
        <f>IF(A706="","",MAX(0,D706-E706))</f>
      </c>
      <c r="G706" s="3">
        <f>IF(A706="","",IFERROR(E706/D706,0))</f>
      </c>
      <c r="H706" s="3">
        <f>IF(A706="","",IF(E706&gt;D706,"חריגת קיבולת",IF(E706=D706,"מלא","תקין")))</f>
      </c>
      <c r="I706" s="11"/>
      <c r="J706" s="11"/>
      <c r="K706" s="11"/>
      <c r="L706" s="11"/>
    </row>
    <row r="707" spans="1:12" x14ac:dyDescent="0.25">
      <c r="A707" s="11"/>
      <c r="B707" s="11"/>
      <c r="C707" s="11"/>
      <c r="D707" s="11"/>
      <c r="E707" s="3">
        <f>IF(A707="","",COUNTIF('02_Guest_Database'!F2:F999,A707))</f>
      </c>
      <c r="F707" s="3">
        <f>IF(A707="","",MAX(0,D707-E707))</f>
      </c>
      <c r="G707" s="3">
        <f>IF(A707="","",IFERROR(E707/D707,0))</f>
      </c>
      <c r="H707" s="3">
        <f>IF(A707="","",IF(E707&gt;D707,"חריגת קיבולת",IF(E707=D707,"מלא","תקין")))</f>
      </c>
      <c r="I707" s="11"/>
      <c r="J707" s="11"/>
      <c r="K707" s="11"/>
      <c r="L707" s="11"/>
    </row>
    <row r="708" spans="1:12" x14ac:dyDescent="0.25">
      <c r="A708" s="11"/>
      <c r="B708" s="11"/>
      <c r="C708" s="11"/>
      <c r="D708" s="11"/>
      <c r="E708" s="3">
        <f>IF(A708="","",COUNTIF('02_Guest_Database'!F2:F999,A708))</f>
      </c>
      <c r="F708" s="3">
        <f>IF(A708="","",MAX(0,D708-E708))</f>
      </c>
      <c r="G708" s="3">
        <f>IF(A708="","",IFERROR(E708/D708,0))</f>
      </c>
      <c r="H708" s="3">
        <f>IF(A708="","",IF(E708&gt;D708,"חריגת קיבולת",IF(E708=D708,"מלא","תקין")))</f>
      </c>
      <c r="I708" s="11"/>
      <c r="J708" s="11"/>
      <c r="K708" s="11"/>
      <c r="L708" s="11"/>
    </row>
    <row r="709" spans="1:12" x14ac:dyDescent="0.25">
      <c r="A709" s="11"/>
      <c r="B709" s="11"/>
      <c r="C709" s="11"/>
      <c r="D709" s="11"/>
      <c r="E709" s="3">
        <f>IF(A709="","",COUNTIF('02_Guest_Database'!F2:F999,A709))</f>
      </c>
      <c r="F709" s="3">
        <f>IF(A709="","",MAX(0,D709-E709))</f>
      </c>
      <c r="G709" s="3">
        <f>IF(A709="","",IFERROR(E709/D709,0))</f>
      </c>
      <c r="H709" s="3">
        <f>IF(A709="","",IF(E709&gt;D709,"חריגת קיבולת",IF(E709=D709,"מלא","תקין")))</f>
      </c>
      <c r="I709" s="11"/>
      <c r="J709" s="11"/>
      <c r="K709" s="11"/>
      <c r="L709" s="11"/>
    </row>
    <row r="710" spans="1:12" x14ac:dyDescent="0.25">
      <c r="A710" s="11"/>
      <c r="B710" s="11"/>
      <c r="C710" s="11"/>
      <c r="D710" s="11"/>
      <c r="E710" s="3">
        <f>IF(A710="","",COUNTIF('02_Guest_Database'!F2:F999,A710))</f>
      </c>
      <c r="F710" s="3">
        <f>IF(A710="","",MAX(0,D710-E710))</f>
      </c>
      <c r="G710" s="3">
        <f>IF(A710="","",IFERROR(E710/D710,0))</f>
      </c>
      <c r="H710" s="3">
        <f>IF(A710="","",IF(E710&gt;D710,"חריגת קיבולת",IF(E710=D710,"מלא","תקין")))</f>
      </c>
      <c r="I710" s="11"/>
      <c r="J710" s="11"/>
      <c r="K710" s="11"/>
      <c r="L710" s="11"/>
    </row>
    <row r="711" spans="1:12" x14ac:dyDescent="0.25">
      <c r="A711" s="11"/>
      <c r="B711" s="11"/>
      <c r="C711" s="11"/>
      <c r="D711" s="11"/>
      <c r="E711" s="3">
        <f>IF(A711="","",COUNTIF('02_Guest_Database'!F2:F999,A711))</f>
      </c>
      <c r="F711" s="3">
        <f>IF(A711="","",MAX(0,D711-E711))</f>
      </c>
      <c r="G711" s="3">
        <f>IF(A711="","",IFERROR(E711/D711,0))</f>
      </c>
      <c r="H711" s="3">
        <f>IF(A711="","",IF(E711&gt;D711,"חריגת קיבולת",IF(E711=D711,"מלא","תקין")))</f>
      </c>
      <c r="I711" s="11"/>
      <c r="J711" s="11"/>
      <c r="K711" s="11"/>
      <c r="L711" s="11"/>
    </row>
    <row r="712" spans="1:12" x14ac:dyDescent="0.25">
      <c r="A712" s="11"/>
      <c r="B712" s="11"/>
      <c r="C712" s="11"/>
      <c r="D712" s="11"/>
      <c r="E712" s="3">
        <f>IF(A712="","",COUNTIF('02_Guest_Database'!F2:F999,A712))</f>
      </c>
      <c r="F712" s="3">
        <f>IF(A712="","",MAX(0,D712-E712))</f>
      </c>
      <c r="G712" s="3">
        <f>IF(A712="","",IFERROR(E712/D712,0))</f>
      </c>
      <c r="H712" s="3">
        <f>IF(A712="","",IF(E712&gt;D712,"חריגת קיבולת",IF(E712=D712,"מלא","תקין")))</f>
      </c>
      <c r="I712" s="11"/>
      <c r="J712" s="11"/>
      <c r="K712" s="11"/>
      <c r="L712" s="11"/>
    </row>
    <row r="713" spans="1:12" x14ac:dyDescent="0.25">
      <c r="A713" s="11"/>
      <c r="B713" s="11"/>
      <c r="C713" s="11"/>
      <c r="D713" s="11"/>
      <c r="E713" s="3">
        <f>IF(A713="","",COUNTIF('02_Guest_Database'!F2:F999,A713))</f>
      </c>
      <c r="F713" s="3">
        <f>IF(A713="","",MAX(0,D713-E713))</f>
      </c>
      <c r="G713" s="3">
        <f>IF(A713="","",IFERROR(E713/D713,0))</f>
      </c>
      <c r="H713" s="3">
        <f>IF(A713="","",IF(E713&gt;D713,"חריגת קיבולת",IF(E713=D713,"מלא","תקין")))</f>
      </c>
      <c r="I713" s="11"/>
      <c r="J713" s="11"/>
      <c r="K713" s="11"/>
      <c r="L713" s="11"/>
    </row>
    <row r="714" spans="1:12" x14ac:dyDescent="0.25">
      <c r="A714" s="11"/>
      <c r="B714" s="11"/>
      <c r="C714" s="11"/>
      <c r="D714" s="11"/>
      <c r="E714" s="3">
        <f>IF(A714="","",COUNTIF('02_Guest_Database'!F2:F999,A714))</f>
      </c>
      <c r="F714" s="3">
        <f>IF(A714="","",MAX(0,D714-E714))</f>
      </c>
      <c r="G714" s="3">
        <f>IF(A714="","",IFERROR(E714/D714,0))</f>
      </c>
      <c r="H714" s="3">
        <f>IF(A714="","",IF(E714&gt;D714,"חריגת קיבולת",IF(E714=D714,"מלא","תקין")))</f>
      </c>
      <c r="I714" s="11"/>
      <c r="J714" s="11"/>
      <c r="K714" s="11"/>
      <c r="L714" s="11"/>
    </row>
    <row r="715" spans="1:12" x14ac:dyDescent="0.25">
      <c r="A715" s="11"/>
      <c r="B715" s="11"/>
      <c r="C715" s="11"/>
      <c r="D715" s="11"/>
      <c r="E715" s="3">
        <f>IF(A715="","",COUNTIF('02_Guest_Database'!F2:F999,A715))</f>
      </c>
      <c r="F715" s="3">
        <f>IF(A715="","",MAX(0,D715-E715))</f>
      </c>
      <c r="G715" s="3">
        <f>IF(A715="","",IFERROR(E715/D715,0))</f>
      </c>
      <c r="H715" s="3">
        <f>IF(A715="","",IF(E715&gt;D715,"חריגת קיבולת",IF(E715=D715,"מלא","תקין")))</f>
      </c>
      <c r="I715" s="11"/>
      <c r="J715" s="11"/>
      <c r="K715" s="11"/>
      <c r="L715" s="11"/>
    </row>
    <row r="716" spans="1:12" x14ac:dyDescent="0.25">
      <c r="A716" s="11"/>
      <c r="B716" s="11"/>
      <c r="C716" s="11"/>
      <c r="D716" s="11"/>
      <c r="E716" s="3">
        <f>IF(A716="","",COUNTIF('02_Guest_Database'!F2:F999,A716))</f>
      </c>
      <c r="F716" s="3">
        <f>IF(A716="","",MAX(0,D716-E716))</f>
      </c>
      <c r="G716" s="3">
        <f>IF(A716="","",IFERROR(E716/D716,0))</f>
      </c>
      <c r="H716" s="3">
        <f>IF(A716="","",IF(E716&gt;D716,"חריגת קיבולת",IF(E716=D716,"מלא","תקין")))</f>
      </c>
      <c r="I716" s="11"/>
      <c r="J716" s="11"/>
      <c r="K716" s="11"/>
      <c r="L716" s="11"/>
    </row>
    <row r="717" spans="1:12" x14ac:dyDescent="0.25">
      <c r="A717" s="11"/>
      <c r="B717" s="11"/>
      <c r="C717" s="11"/>
      <c r="D717" s="11"/>
      <c r="E717" s="3">
        <f>IF(A717="","",COUNTIF('02_Guest_Database'!F2:F999,A717))</f>
      </c>
      <c r="F717" s="3">
        <f>IF(A717="","",MAX(0,D717-E717))</f>
      </c>
      <c r="G717" s="3">
        <f>IF(A717="","",IFERROR(E717/D717,0))</f>
      </c>
      <c r="H717" s="3">
        <f>IF(A717="","",IF(E717&gt;D717,"חריגת קיבולת",IF(E717=D717,"מלא","תקין")))</f>
      </c>
      <c r="I717" s="11"/>
      <c r="J717" s="11"/>
      <c r="K717" s="11"/>
      <c r="L717" s="11"/>
    </row>
    <row r="718" spans="1:12" x14ac:dyDescent="0.25">
      <c r="A718" s="11"/>
      <c r="B718" s="11"/>
      <c r="C718" s="11"/>
      <c r="D718" s="11"/>
      <c r="E718" s="3">
        <f>IF(A718="","",COUNTIF('02_Guest_Database'!F2:F999,A718))</f>
      </c>
      <c r="F718" s="3">
        <f>IF(A718="","",MAX(0,D718-E718))</f>
      </c>
      <c r="G718" s="3">
        <f>IF(A718="","",IFERROR(E718/D718,0))</f>
      </c>
      <c r="H718" s="3">
        <f>IF(A718="","",IF(E718&gt;D718,"חריגת קיבולת",IF(E718=D718,"מלא","תקין")))</f>
      </c>
      <c r="I718" s="11"/>
      <c r="J718" s="11"/>
      <c r="K718" s="11"/>
      <c r="L718" s="11"/>
    </row>
    <row r="719" spans="1:12" x14ac:dyDescent="0.25">
      <c r="A719" s="11"/>
      <c r="B719" s="11"/>
      <c r="C719" s="11"/>
      <c r="D719" s="11"/>
      <c r="E719" s="3">
        <f>IF(A719="","",COUNTIF('02_Guest_Database'!F2:F999,A719))</f>
      </c>
      <c r="F719" s="3">
        <f>IF(A719="","",MAX(0,D719-E719))</f>
      </c>
      <c r="G719" s="3">
        <f>IF(A719="","",IFERROR(E719/D719,0))</f>
      </c>
      <c r="H719" s="3">
        <f>IF(A719="","",IF(E719&gt;D719,"חריגת קיבולת",IF(E719=D719,"מלא","תקין")))</f>
      </c>
      <c r="I719" s="11"/>
      <c r="J719" s="11"/>
      <c r="K719" s="11"/>
      <c r="L719" s="11"/>
    </row>
    <row r="720" spans="1:12" x14ac:dyDescent="0.25">
      <c r="A720" s="11"/>
      <c r="B720" s="11"/>
      <c r="C720" s="11"/>
      <c r="D720" s="11"/>
      <c r="E720" s="3">
        <f>IF(A720="","",COUNTIF('02_Guest_Database'!F2:F999,A720))</f>
      </c>
      <c r="F720" s="3">
        <f>IF(A720="","",MAX(0,D720-E720))</f>
      </c>
      <c r="G720" s="3">
        <f>IF(A720="","",IFERROR(E720/D720,0))</f>
      </c>
      <c r="H720" s="3">
        <f>IF(A720="","",IF(E720&gt;D720,"חריגת קיבולת",IF(E720=D720,"מלא","תקין")))</f>
      </c>
      <c r="I720" s="11"/>
      <c r="J720" s="11"/>
      <c r="K720" s="11"/>
      <c r="L720" s="11"/>
    </row>
    <row r="721" spans="1:12" x14ac:dyDescent="0.25">
      <c r="A721" s="11"/>
      <c r="B721" s="11"/>
      <c r="C721" s="11"/>
      <c r="D721" s="11"/>
      <c r="E721" s="3">
        <f>IF(A721="","",COUNTIF('02_Guest_Database'!F2:F999,A721))</f>
      </c>
      <c r="F721" s="3">
        <f>IF(A721="","",MAX(0,D721-E721))</f>
      </c>
      <c r="G721" s="3">
        <f>IF(A721="","",IFERROR(E721/D721,0))</f>
      </c>
      <c r="H721" s="3">
        <f>IF(A721="","",IF(E721&gt;D721,"חריגת קיבולת",IF(E721=D721,"מלא","תקין")))</f>
      </c>
      <c r="I721" s="11"/>
      <c r="J721" s="11"/>
      <c r="K721" s="11"/>
      <c r="L721" s="11"/>
    </row>
    <row r="722" spans="1:12" x14ac:dyDescent="0.25">
      <c r="A722" s="11"/>
      <c r="B722" s="11"/>
      <c r="C722" s="11"/>
      <c r="D722" s="11"/>
      <c r="E722" s="3">
        <f>IF(A722="","",COUNTIF('02_Guest_Database'!F2:F999,A722))</f>
      </c>
      <c r="F722" s="3">
        <f>IF(A722="","",MAX(0,D722-E722))</f>
      </c>
      <c r="G722" s="3">
        <f>IF(A722="","",IFERROR(E722/D722,0))</f>
      </c>
      <c r="H722" s="3">
        <f>IF(A722="","",IF(E722&gt;D722,"חריגת קיבולת",IF(E722=D722,"מלא","תקין")))</f>
      </c>
      <c r="I722" s="11"/>
      <c r="J722" s="11"/>
      <c r="K722" s="11"/>
      <c r="L722" s="11"/>
    </row>
    <row r="723" spans="1:12" x14ac:dyDescent="0.25">
      <c r="A723" s="11"/>
      <c r="B723" s="11"/>
      <c r="C723" s="11"/>
      <c r="D723" s="11"/>
      <c r="E723" s="3">
        <f>IF(A723="","",COUNTIF('02_Guest_Database'!F2:F999,A723))</f>
      </c>
      <c r="F723" s="3">
        <f>IF(A723="","",MAX(0,D723-E723))</f>
      </c>
      <c r="G723" s="3">
        <f>IF(A723="","",IFERROR(E723/D723,0))</f>
      </c>
      <c r="H723" s="3">
        <f>IF(A723="","",IF(E723&gt;D723,"חריגת קיבולת",IF(E723=D723,"מלא","תקין")))</f>
      </c>
      <c r="I723" s="11"/>
      <c r="J723" s="11"/>
      <c r="K723" s="11"/>
      <c r="L723" s="11"/>
    </row>
    <row r="724" spans="1:12" x14ac:dyDescent="0.25">
      <c r="A724" s="11"/>
      <c r="B724" s="11"/>
      <c r="C724" s="11"/>
      <c r="D724" s="11"/>
      <c r="E724" s="3">
        <f>IF(A724="","",COUNTIF('02_Guest_Database'!F2:F999,A724))</f>
      </c>
      <c r="F724" s="3">
        <f>IF(A724="","",MAX(0,D724-E724))</f>
      </c>
      <c r="G724" s="3">
        <f>IF(A724="","",IFERROR(E724/D724,0))</f>
      </c>
      <c r="H724" s="3">
        <f>IF(A724="","",IF(E724&gt;D724,"חריגת קיבולת",IF(E724=D724,"מלא","תקין")))</f>
      </c>
      <c r="I724" s="11"/>
      <c r="J724" s="11"/>
      <c r="K724" s="11"/>
      <c r="L724" s="11"/>
    </row>
    <row r="725" spans="1:12" x14ac:dyDescent="0.25">
      <c r="A725" s="11"/>
      <c r="B725" s="11"/>
      <c r="C725" s="11"/>
      <c r="D725" s="11"/>
      <c r="E725" s="3">
        <f>IF(A725="","",COUNTIF('02_Guest_Database'!F2:F999,A725))</f>
      </c>
      <c r="F725" s="3">
        <f>IF(A725="","",MAX(0,D725-E725))</f>
      </c>
      <c r="G725" s="3">
        <f>IF(A725="","",IFERROR(E725/D725,0))</f>
      </c>
      <c r="H725" s="3">
        <f>IF(A725="","",IF(E725&gt;D725,"חריגת קיבולת",IF(E725=D725,"מלא","תקין")))</f>
      </c>
      <c r="I725" s="11"/>
      <c r="J725" s="11"/>
      <c r="K725" s="11"/>
      <c r="L725" s="11"/>
    </row>
    <row r="726" spans="1:12" x14ac:dyDescent="0.25">
      <c r="A726" s="11"/>
      <c r="B726" s="11"/>
      <c r="C726" s="11"/>
      <c r="D726" s="11"/>
      <c r="E726" s="3">
        <f>IF(A726="","",COUNTIF('02_Guest_Database'!F2:F999,A726))</f>
      </c>
      <c r="F726" s="3">
        <f>IF(A726="","",MAX(0,D726-E726))</f>
      </c>
      <c r="G726" s="3">
        <f>IF(A726="","",IFERROR(E726/D726,0))</f>
      </c>
      <c r="H726" s="3">
        <f>IF(A726="","",IF(E726&gt;D726,"חריגת קיבולת",IF(E726=D726,"מלא","תקין")))</f>
      </c>
      <c r="I726" s="11"/>
      <c r="J726" s="11"/>
      <c r="K726" s="11"/>
      <c r="L726" s="11"/>
    </row>
    <row r="727" spans="1:12" x14ac:dyDescent="0.25">
      <c r="A727" s="11"/>
      <c r="B727" s="11"/>
      <c r="C727" s="11"/>
      <c r="D727" s="11"/>
      <c r="E727" s="3">
        <f>IF(A727="","",COUNTIF('02_Guest_Database'!F2:F999,A727))</f>
      </c>
      <c r="F727" s="3">
        <f>IF(A727="","",MAX(0,D727-E727))</f>
      </c>
      <c r="G727" s="3">
        <f>IF(A727="","",IFERROR(E727/D727,0))</f>
      </c>
      <c r="H727" s="3">
        <f>IF(A727="","",IF(E727&gt;D727,"חריגת קיבולת",IF(E727=D727,"מלא","תקין")))</f>
      </c>
      <c r="I727" s="11"/>
      <c r="J727" s="11"/>
      <c r="K727" s="11"/>
      <c r="L727" s="11"/>
    </row>
    <row r="728" spans="1:12" x14ac:dyDescent="0.25">
      <c r="A728" s="11"/>
      <c r="B728" s="11"/>
      <c r="C728" s="11"/>
      <c r="D728" s="11"/>
      <c r="E728" s="3">
        <f>IF(A728="","",COUNTIF('02_Guest_Database'!F2:F999,A728))</f>
      </c>
      <c r="F728" s="3">
        <f>IF(A728="","",MAX(0,D728-E728))</f>
      </c>
      <c r="G728" s="3">
        <f>IF(A728="","",IFERROR(E728/D728,0))</f>
      </c>
      <c r="H728" s="3">
        <f>IF(A728="","",IF(E728&gt;D728,"חריגת קיבולת",IF(E728=D728,"מלא","תקין")))</f>
      </c>
      <c r="I728" s="11"/>
      <c r="J728" s="11"/>
      <c r="K728" s="11"/>
      <c r="L728" s="11"/>
    </row>
    <row r="729" spans="1:12" x14ac:dyDescent="0.25">
      <c r="A729" s="11"/>
      <c r="B729" s="11"/>
      <c r="C729" s="11"/>
      <c r="D729" s="11"/>
      <c r="E729" s="3">
        <f>IF(A729="","",COUNTIF('02_Guest_Database'!F2:F999,A729))</f>
      </c>
      <c r="F729" s="3">
        <f>IF(A729="","",MAX(0,D729-E729))</f>
      </c>
      <c r="G729" s="3">
        <f>IF(A729="","",IFERROR(E729/D729,0))</f>
      </c>
      <c r="H729" s="3">
        <f>IF(A729="","",IF(E729&gt;D729,"חריגת קיבולת",IF(E729=D729,"מלא","תקין")))</f>
      </c>
      <c r="I729" s="11"/>
      <c r="J729" s="11"/>
      <c r="K729" s="11"/>
      <c r="L729" s="11"/>
    </row>
    <row r="730" spans="1:12" x14ac:dyDescent="0.25">
      <c r="A730" s="11"/>
      <c r="B730" s="11"/>
      <c r="C730" s="11"/>
      <c r="D730" s="11"/>
      <c r="E730" s="3">
        <f>IF(A730="","",COUNTIF('02_Guest_Database'!F2:F999,A730))</f>
      </c>
      <c r="F730" s="3">
        <f>IF(A730="","",MAX(0,D730-E730))</f>
      </c>
      <c r="G730" s="3">
        <f>IF(A730="","",IFERROR(E730/D730,0))</f>
      </c>
      <c r="H730" s="3">
        <f>IF(A730="","",IF(E730&gt;D730,"חריגת קיבולת",IF(E730=D730,"מלא","תקין")))</f>
      </c>
      <c r="I730" s="11"/>
      <c r="J730" s="11"/>
      <c r="K730" s="11"/>
      <c r="L730" s="11"/>
    </row>
    <row r="731" spans="1:12" x14ac:dyDescent="0.25">
      <c r="A731" s="11"/>
      <c r="B731" s="11"/>
      <c r="C731" s="11"/>
      <c r="D731" s="11"/>
      <c r="E731" s="3">
        <f>IF(A731="","",COUNTIF('02_Guest_Database'!F2:F999,A731))</f>
      </c>
      <c r="F731" s="3">
        <f>IF(A731="","",MAX(0,D731-E731))</f>
      </c>
      <c r="G731" s="3">
        <f>IF(A731="","",IFERROR(E731/D731,0))</f>
      </c>
      <c r="H731" s="3">
        <f>IF(A731="","",IF(E731&gt;D731,"חריגת קיבולת",IF(E731=D731,"מלא","תקין")))</f>
      </c>
      <c r="I731" s="11"/>
      <c r="J731" s="11"/>
      <c r="K731" s="11"/>
      <c r="L731" s="11"/>
    </row>
    <row r="732" spans="1:12" x14ac:dyDescent="0.25">
      <c r="A732" s="11"/>
      <c r="B732" s="11"/>
      <c r="C732" s="11"/>
      <c r="D732" s="11"/>
      <c r="E732" s="3">
        <f>IF(A732="","",COUNTIF('02_Guest_Database'!F2:F999,A732))</f>
      </c>
      <c r="F732" s="3">
        <f>IF(A732="","",MAX(0,D732-E732))</f>
      </c>
      <c r="G732" s="3">
        <f>IF(A732="","",IFERROR(E732/D732,0))</f>
      </c>
      <c r="H732" s="3">
        <f>IF(A732="","",IF(E732&gt;D732,"חריגת קיבולת",IF(E732=D732,"מלא","תקין")))</f>
      </c>
      <c r="I732" s="11"/>
      <c r="J732" s="11"/>
      <c r="K732" s="11"/>
      <c r="L732" s="11"/>
    </row>
    <row r="733" spans="1:12" x14ac:dyDescent="0.25">
      <c r="A733" s="11"/>
      <c r="B733" s="11"/>
      <c r="C733" s="11"/>
      <c r="D733" s="11"/>
      <c r="E733" s="3">
        <f>IF(A733="","",COUNTIF('02_Guest_Database'!F2:F999,A733))</f>
      </c>
      <c r="F733" s="3">
        <f>IF(A733="","",MAX(0,D733-E733))</f>
      </c>
      <c r="G733" s="3">
        <f>IF(A733="","",IFERROR(E733/D733,0))</f>
      </c>
      <c r="H733" s="3">
        <f>IF(A733="","",IF(E733&gt;D733,"חריגת קיבולת",IF(E733=D733,"מלא","תקין")))</f>
      </c>
      <c r="I733" s="11"/>
      <c r="J733" s="11"/>
      <c r="K733" s="11"/>
      <c r="L733" s="11"/>
    </row>
    <row r="734" spans="1:12" x14ac:dyDescent="0.25">
      <c r="A734" s="11"/>
      <c r="B734" s="11"/>
      <c r="C734" s="11"/>
      <c r="D734" s="11"/>
      <c r="E734" s="3">
        <f>IF(A734="","",COUNTIF('02_Guest_Database'!F2:F999,A734))</f>
      </c>
      <c r="F734" s="3">
        <f>IF(A734="","",MAX(0,D734-E734))</f>
      </c>
      <c r="G734" s="3">
        <f>IF(A734="","",IFERROR(E734/D734,0))</f>
      </c>
      <c r="H734" s="3">
        <f>IF(A734="","",IF(E734&gt;D734,"חריגת קיבולת",IF(E734=D734,"מלא","תקין")))</f>
      </c>
      <c r="I734" s="11"/>
      <c r="J734" s="11"/>
      <c r="K734" s="11"/>
      <c r="L734" s="11"/>
    </row>
    <row r="735" spans="1:12" x14ac:dyDescent="0.25">
      <c r="A735" s="11"/>
      <c r="B735" s="11"/>
      <c r="C735" s="11"/>
      <c r="D735" s="11"/>
      <c r="E735" s="3">
        <f>IF(A735="","",COUNTIF('02_Guest_Database'!F2:F999,A735))</f>
      </c>
      <c r="F735" s="3">
        <f>IF(A735="","",MAX(0,D735-E735))</f>
      </c>
      <c r="G735" s="3">
        <f>IF(A735="","",IFERROR(E735/D735,0))</f>
      </c>
      <c r="H735" s="3">
        <f>IF(A735="","",IF(E735&gt;D735,"חריגת קיבולת",IF(E735=D735,"מלא","תקין")))</f>
      </c>
      <c r="I735" s="11"/>
      <c r="J735" s="11"/>
      <c r="K735" s="11"/>
      <c r="L735" s="11"/>
    </row>
    <row r="736" spans="1:12" x14ac:dyDescent="0.25">
      <c r="A736" s="11"/>
      <c r="B736" s="11"/>
      <c r="C736" s="11"/>
      <c r="D736" s="11"/>
      <c r="E736" s="3">
        <f>IF(A736="","",COUNTIF('02_Guest_Database'!F2:F999,A736))</f>
      </c>
      <c r="F736" s="3">
        <f>IF(A736="","",MAX(0,D736-E736))</f>
      </c>
      <c r="G736" s="3">
        <f>IF(A736="","",IFERROR(E736/D736,0))</f>
      </c>
      <c r="H736" s="3">
        <f>IF(A736="","",IF(E736&gt;D736,"חריגת קיבולת",IF(E736=D736,"מלא","תקין")))</f>
      </c>
      <c r="I736" s="11"/>
      <c r="J736" s="11"/>
      <c r="K736" s="11"/>
      <c r="L736" s="11"/>
    </row>
    <row r="737" spans="1:12" x14ac:dyDescent="0.25">
      <c r="A737" s="11"/>
      <c r="B737" s="11"/>
      <c r="C737" s="11"/>
      <c r="D737" s="11"/>
      <c r="E737" s="3">
        <f>IF(A737="","",COUNTIF('02_Guest_Database'!F2:F999,A737))</f>
      </c>
      <c r="F737" s="3">
        <f>IF(A737="","",MAX(0,D737-E737))</f>
      </c>
      <c r="G737" s="3">
        <f>IF(A737="","",IFERROR(E737/D737,0))</f>
      </c>
      <c r="H737" s="3">
        <f>IF(A737="","",IF(E737&gt;D737,"חריגת קיבולת",IF(E737=D737,"מלא","תקין")))</f>
      </c>
      <c r="I737" s="11"/>
      <c r="J737" s="11"/>
      <c r="K737" s="11"/>
      <c r="L737" s="11"/>
    </row>
    <row r="738" spans="1:12" x14ac:dyDescent="0.25">
      <c r="A738" s="11"/>
      <c r="B738" s="11"/>
      <c r="C738" s="11"/>
      <c r="D738" s="11"/>
      <c r="E738" s="3">
        <f>IF(A738="","",COUNTIF('02_Guest_Database'!F2:F999,A738))</f>
      </c>
      <c r="F738" s="3">
        <f>IF(A738="","",MAX(0,D738-E738))</f>
      </c>
      <c r="G738" s="3">
        <f>IF(A738="","",IFERROR(E738/D738,0))</f>
      </c>
      <c r="H738" s="3">
        <f>IF(A738="","",IF(E738&gt;D738,"חריגת קיבולת",IF(E738=D738,"מלא","תקין")))</f>
      </c>
      <c r="I738" s="11"/>
      <c r="J738" s="11"/>
      <c r="K738" s="11"/>
      <c r="L738" s="11"/>
    </row>
    <row r="739" spans="1:12" x14ac:dyDescent="0.25">
      <c r="A739" s="11"/>
      <c r="B739" s="11"/>
      <c r="C739" s="11"/>
      <c r="D739" s="11"/>
      <c r="E739" s="3">
        <f>IF(A739="","",COUNTIF('02_Guest_Database'!F2:F999,A739))</f>
      </c>
      <c r="F739" s="3">
        <f>IF(A739="","",MAX(0,D739-E739))</f>
      </c>
      <c r="G739" s="3">
        <f>IF(A739="","",IFERROR(E739/D739,0))</f>
      </c>
      <c r="H739" s="3">
        <f>IF(A739="","",IF(E739&gt;D739,"חריגת קיבולת",IF(E739=D739,"מלא","תקין")))</f>
      </c>
      <c r="I739" s="11"/>
      <c r="J739" s="11"/>
      <c r="K739" s="11"/>
      <c r="L739" s="11"/>
    </row>
    <row r="740" spans="1:12" x14ac:dyDescent="0.25">
      <c r="A740" s="11"/>
      <c r="B740" s="11"/>
      <c r="C740" s="11"/>
      <c r="D740" s="11"/>
      <c r="E740" s="3">
        <f>IF(A740="","",COUNTIF('02_Guest_Database'!F2:F999,A740))</f>
      </c>
      <c r="F740" s="3">
        <f>IF(A740="","",MAX(0,D740-E740))</f>
      </c>
      <c r="G740" s="3">
        <f>IF(A740="","",IFERROR(E740/D740,0))</f>
      </c>
      <c r="H740" s="3">
        <f>IF(A740="","",IF(E740&gt;D740,"חריגת קיבולת",IF(E740=D740,"מלא","תקין")))</f>
      </c>
      <c r="I740" s="11"/>
      <c r="J740" s="11"/>
      <c r="K740" s="11"/>
      <c r="L740" s="11"/>
    </row>
    <row r="741" spans="1:12" x14ac:dyDescent="0.25">
      <c r="A741" s="11"/>
      <c r="B741" s="11"/>
      <c r="C741" s="11"/>
      <c r="D741" s="11"/>
      <c r="E741" s="3">
        <f>IF(A741="","",COUNTIF('02_Guest_Database'!F2:F999,A741))</f>
      </c>
      <c r="F741" s="3">
        <f>IF(A741="","",MAX(0,D741-E741))</f>
      </c>
      <c r="G741" s="3">
        <f>IF(A741="","",IFERROR(E741/D741,0))</f>
      </c>
      <c r="H741" s="3">
        <f>IF(A741="","",IF(E741&gt;D741,"חריגת קיבולת",IF(E741=D741,"מלא","תקין")))</f>
      </c>
      <c r="I741" s="11"/>
      <c r="J741" s="11"/>
      <c r="K741" s="11"/>
      <c r="L741" s="11"/>
    </row>
    <row r="742" spans="1:12" x14ac:dyDescent="0.25">
      <c r="A742" s="11"/>
      <c r="B742" s="11"/>
      <c r="C742" s="11"/>
      <c r="D742" s="11"/>
      <c r="E742" s="3">
        <f>IF(A742="","",COUNTIF('02_Guest_Database'!F2:F999,A742))</f>
      </c>
      <c r="F742" s="3">
        <f>IF(A742="","",MAX(0,D742-E742))</f>
      </c>
      <c r="G742" s="3">
        <f>IF(A742="","",IFERROR(E742/D742,0))</f>
      </c>
      <c r="H742" s="3">
        <f>IF(A742="","",IF(E742&gt;D742,"חריגת קיבולת",IF(E742=D742,"מלא","תקין")))</f>
      </c>
      <c r="I742" s="11"/>
      <c r="J742" s="11"/>
      <c r="K742" s="11"/>
      <c r="L742" s="11"/>
    </row>
    <row r="743" spans="1:12" x14ac:dyDescent="0.25">
      <c r="A743" s="11"/>
      <c r="B743" s="11"/>
      <c r="C743" s="11"/>
      <c r="D743" s="11"/>
      <c r="E743" s="3">
        <f>IF(A743="","",COUNTIF('02_Guest_Database'!F2:F999,A743))</f>
      </c>
      <c r="F743" s="3">
        <f>IF(A743="","",MAX(0,D743-E743))</f>
      </c>
      <c r="G743" s="3">
        <f>IF(A743="","",IFERROR(E743/D743,0))</f>
      </c>
      <c r="H743" s="3">
        <f>IF(A743="","",IF(E743&gt;D743,"חריגת קיבולת",IF(E743=D743,"מלא","תקין")))</f>
      </c>
      <c r="I743" s="11"/>
      <c r="J743" s="11"/>
      <c r="K743" s="11"/>
      <c r="L743" s="11"/>
    </row>
    <row r="744" spans="1:12" x14ac:dyDescent="0.25">
      <c r="A744" s="11"/>
      <c r="B744" s="11"/>
      <c r="C744" s="11"/>
      <c r="D744" s="11"/>
      <c r="E744" s="3">
        <f>IF(A744="","",COUNTIF('02_Guest_Database'!F2:F999,A744))</f>
      </c>
      <c r="F744" s="3">
        <f>IF(A744="","",MAX(0,D744-E744))</f>
      </c>
      <c r="G744" s="3">
        <f>IF(A744="","",IFERROR(E744/D744,0))</f>
      </c>
      <c r="H744" s="3">
        <f>IF(A744="","",IF(E744&gt;D744,"חריגת קיבולת",IF(E744=D744,"מלא","תקין")))</f>
      </c>
      <c r="I744" s="11"/>
      <c r="J744" s="11"/>
      <c r="K744" s="11"/>
      <c r="L744" s="11"/>
    </row>
    <row r="745" spans="1:12" x14ac:dyDescent="0.25">
      <c r="A745" s="11"/>
      <c r="B745" s="11"/>
      <c r="C745" s="11"/>
      <c r="D745" s="11"/>
      <c r="E745" s="3">
        <f>IF(A745="","",COUNTIF('02_Guest_Database'!F2:F999,A745))</f>
      </c>
      <c r="F745" s="3">
        <f>IF(A745="","",MAX(0,D745-E745))</f>
      </c>
      <c r="G745" s="3">
        <f>IF(A745="","",IFERROR(E745/D745,0))</f>
      </c>
      <c r="H745" s="3">
        <f>IF(A745="","",IF(E745&gt;D745,"חריגת קיבולת",IF(E745=D745,"מלא","תקין")))</f>
      </c>
      <c r="I745" s="11"/>
      <c r="J745" s="11"/>
      <c r="K745" s="11"/>
      <c r="L745" s="11"/>
    </row>
    <row r="746" spans="1:12" x14ac:dyDescent="0.25">
      <c r="A746" s="11"/>
      <c r="B746" s="11"/>
      <c r="C746" s="11"/>
      <c r="D746" s="11"/>
      <c r="E746" s="3">
        <f>IF(A746="","",COUNTIF('02_Guest_Database'!F2:F999,A746))</f>
      </c>
      <c r="F746" s="3">
        <f>IF(A746="","",MAX(0,D746-E746))</f>
      </c>
      <c r="G746" s="3">
        <f>IF(A746="","",IFERROR(E746/D746,0))</f>
      </c>
      <c r="H746" s="3">
        <f>IF(A746="","",IF(E746&gt;D746,"חריגת קיבולת",IF(E746=D746,"מלא","תקין")))</f>
      </c>
      <c r="I746" s="11"/>
      <c r="J746" s="11"/>
      <c r="K746" s="11"/>
      <c r="L746" s="11"/>
    </row>
    <row r="747" spans="1:12" x14ac:dyDescent="0.25">
      <c r="A747" s="11"/>
      <c r="B747" s="11"/>
      <c r="C747" s="11"/>
      <c r="D747" s="11"/>
      <c r="E747" s="3">
        <f>IF(A747="","",COUNTIF('02_Guest_Database'!F2:F999,A747))</f>
      </c>
      <c r="F747" s="3">
        <f>IF(A747="","",MAX(0,D747-E747))</f>
      </c>
      <c r="G747" s="3">
        <f>IF(A747="","",IFERROR(E747/D747,0))</f>
      </c>
      <c r="H747" s="3">
        <f>IF(A747="","",IF(E747&gt;D747,"חריגת קיבולת",IF(E747=D747,"מלא","תקין")))</f>
      </c>
      <c r="I747" s="11"/>
      <c r="J747" s="11"/>
      <c r="K747" s="11"/>
      <c r="L747" s="11"/>
    </row>
    <row r="748" spans="1:12" x14ac:dyDescent="0.25">
      <c r="A748" s="11"/>
      <c r="B748" s="11"/>
      <c r="C748" s="11"/>
      <c r="D748" s="11"/>
      <c r="E748" s="3">
        <f>IF(A748="","",COUNTIF('02_Guest_Database'!F2:F999,A748))</f>
      </c>
      <c r="F748" s="3">
        <f>IF(A748="","",MAX(0,D748-E748))</f>
      </c>
      <c r="G748" s="3">
        <f>IF(A748="","",IFERROR(E748/D748,0))</f>
      </c>
      <c r="H748" s="3">
        <f>IF(A748="","",IF(E748&gt;D748,"חריגת קיבולת",IF(E748=D748,"מלא","תקין")))</f>
      </c>
      <c r="I748" s="11"/>
      <c r="J748" s="11"/>
      <c r="K748" s="11"/>
      <c r="L748" s="11"/>
    </row>
    <row r="749" spans="1:12" x14ac:dyDescent="0.25">
      <c r="A749" s="11"/>
      <c r="B749" s="11"/>
      <c r="C749" s="11"/>
      <c r="D749" s="11"/>
      <c r="E749" s="3">
        <f>IF(A749="","",COUNTIF('02_Guest_Database'!F2:F999,A749))</f>
      </c>
      <c r="F749" s="3">
        <f>IF(A749="","",MAX(0,D749-E749))</f>
      </c>
      <c r="G749" s="3">
        <f>IF(A749="","",IFERROR(E749/D749,0))</f>
      </c>
      <c r="H749" s="3">
        <f>IF(A749="","",IF(E749&gt;D749,"חריגת קיבולת",IF(E749=D749,"מלא","תקין")))</f>
      </c>
      <c r="I749" s="11"/>
      <c r="J749" s="11"/>
      <c r="K749" s="11"/>
      <c r="L749" s="11"/>
    </row>
    <row r="750" spans="1:12" x14ac:dyDescent="0.25">
      <c r="A750" s="11"/>
      <c r="B750" s="11"/>
      <c r="C750" s="11"/>
      <c r="D750" s="11"/>
      <c r="E750" s="3">
        <f>IF(A750="","",COUNTIF('02_Guest_Database'!F2:F999,A750))</f>
      </c>
      <c r="F750" s="3">
        <f>IF(A750="","",MAX(0,D750-E750))</f>
      </c>
      <c r="G750" s="3">
        <f>IF(A750="","",IFERROR(E750/D750,0))</f>
      </c>
      <c r="H750" s="3">
        <f>IF(A750="","",IF(E750&gt;D750,"חריגת קיבולת",IF(E750=D750,"מלא","תקין")))</f>
      </c>
      <c r="I750" s="11"/>
      <c r="J750" s="11"/>
      <c r="K750" s="11"/>
      <c r="L750" s="11"/>
    </row>
    <row r="751" spans="1:12" x14ac:dyDescent="0.25">
      <c r="A751" s="11"/>
      <c r="B751" s="11"/>
      <c r="C751" s="11"/>
      <c r="D751" s="11"/>
      <c r="E751" s="3">
        <f>IF(A751="","",COUNTIF('02_Guest_Database'!F2:F999,A751))</f>
      </c>
      <c r="F751" s="3">
        <f>IF(A751="","",MAX(0,D751-E751))</f>
      </c>
      <c r="G751" s="3">
        <f>IF(A751="","",IFERROR(E751/D751,0))</f>
      </c>
      <c r="H751" s="3">
        <f>IF(A751="","",IF(E751&gt;D751,"חריגת קיבולת",IF(E751=D751,"מלא","תקין")))</f>
      </c>
      <c r="I751" s="11"/>
      <c r="J751" s="11"/>
      <c r="K751" s="11"/>
      <c r="L751" s="11"/>
    </row>
    <row r="752" spans="1:12" x14ac:dyDescent="0.25">
      <c r="A752" s="11"/>
      <c r="B752" s="11"/>
      <c r="C752" s="11"/>
      <c r="D752" s="11"/>
      <c r="E752" s="3">
        <f>IF(A752="","",COUNTIF('02_Guest_Database'!F2:F999,A752))</f>
      </c>
      <c r="F752" s="3">
        <f>IF(A752="","",MAX(0,D752-E752))</f>
      </c>
      <c r="G752" s="3">
        <f>IF(A752="","",IFERROR(E752/D752,0))</f>
      </c>
      <c r="H752" s="3">
        <f>IF(A752="","",IF(E752&gt;D752,"חריגת קיבולת",IF(E752=D752,"מלא","תקין")))</f>
      </c>
      <c r="I752" s="11"/>
      <c r="J752" s="11"/>
      <c r="K752" s="11"/>
      <c r="L752" s="11"/>
    </row>
    <row r="753" spans="1:12" x14ac:dyDescent="0.25">
      <c r="A753" s="11"/>
      <c r="B753" s="11"/>
      <c r="C753" s="11"/>
      <c r="D753" s="11"/>
      <c r="E753" s="3">
        <f>IF(A753="","",COUNTIF('02_Guest_Database'!F2:F999,A753))</f>
      </c>
      <c r="F753" s="3">
        <f>IF(A753="","",MAX(0,D753-E753))</f>
      </c>
      <c r="G753" s="3">
        <f>IF(A753="","",IFERROR(E753/D753,0))</f>
      </c>
      <c r="H753" s="3">
        <f>IF(A753="","",IF(E753&gt;D753,"חריגת קיבולת",IF(E753=D753,"מלא","תקין")))</f>
      </c>
      <c r="I753" s="11"/>
      <c r="J753" s="11"/>
      <c r="K753" s="11"/>
      <c r="L753" s="11"/>
    </row>
    <row r="754" spans="1:12" x14ac:dyDescent="0.25">
      <c r="A754" s="11"/>
      <c r="B754" s="11"/>
      <c r="C754" s="11"/>
      <c r="D754" s="11"/>
      <c r="E754" s="3">
        <f>IF(A754="","",COUNTIF('02_Guest_Database'!F2:F999,A754))</f>
      </c>
      <c r="F754" s="3">
        <f>IF(A754="","",MAX(0,D754-E754))</f>
      </c>
      <c r="G754" s="3">
        <f>IF(A754="","",IFERROR(E754/D754,0))</f>
      </c>
      <c r="H754" s="3">
        <f>IF(A754="","",IF(E754&gt;D754,"חריגת קיבולת",IF(E754=D754,"מלא","תקין")))</f>
      </c>
      <c r="I754" s="11"/>
      <c r="J754" s="11"/>
      <c r="K754" s="11"/>
      <c r="L754" s="11"/>
    </row>
    <row r="755" spans="1:12" x14ac:dyDescent="0.25">
      <c r="A755" s="11"/>
      <c r="B755" s="11"/>
      <c r="C755" s="11"/>
      <c r="D755" s="11"/>
      <c r="E755" s="3">
        <f>IF(A755="","",COUNTIF('02_Guest_Database'!F2:F999,A755))</f>
      </c>
      <c r="F755" s="3">
        <f>IF(A755="","",MAX(0,D755-E755))</f>
      </c>
      <c r="G755" s="3">
        <f>IF(A755="","",IFERROR(E755/D755,0))</f>
      </c>
      <c r="H755" s="3">
        <f>IF(A755="","",IF(E755&gt;D755,"חריגת קיבולת",IF(E755=D755,"מלא","תקין")))</f>
      </c>
      <c r="I755" s="11"/>
      <c r="J755" s="11"/>
      <c r="K755" s="11"/>
      <c r="L755" s="11"/>
    </row>
    <row r="756" spans="1:12" x14ac:dyDescent="0.25">
      <c r="A756" s="11"/>
      <c r="B756" s="11"/>
      <c r="C756" s="11"/>
      <c r="D756" s="11"/>
      <c r="E756" s="3">
        <f>IF(A756="","",COUNTIF('02_Guest_Database'!F2:F999,A756))</f>
      </c>
      <c r="F756" s="3">
        <f>IF(A756="","",MAX(0,D756-E756))</f>
      </c>
      <c r="G756" s="3">
        <f>IF(A756="","",IFERROR(E756/D756,0))</f>
      </c>
      <c r="H756" s="3">
        <f>IF(A756="","",IF(E756&gt;D756,"חריגת קיבולת",IF(E756=D756,"מלא","תקין")))</f>
      </c>
      <c r="I756" s="11"/>
      <c r="J756" s="11"/>
      <c r="K756" s="11"/>
      <c r="L756" s="11"/>
    </row>
    <row r="757" spans="1:12" x14ac:dyDescent="0.25">
      <c r="A757" s="11"/>
      <c r="B757" s="11"/>
      <c r="C757" s="11"/>
      <c r="D757" s="11"/>
      <c r="E757" s="3">
        <f>IF(A757="","",COUNTIF('02_Guest_Database'!F2:F999,A757))</f>
      </c>
      <c r="F757" s="3">
        <f>IF(A757="","",MAX(0,D757-E757))</f>
      </c>
      <c r="G757" s="3">
        <f>IF(A757="","",IFERROR(E757/D757,0))</f>
      </c>
      <c r="H757" s="3">
        <f>IF(A757="","",IF(E757&gt;D757,"חריגת קיבולת",IF(E757=D757,"מלא","תקין")))</f>
      </c>
      <c r="I757" s="11"/>
      <c r="J757" s="11"/>
      <c r="K757" s="11"/>
      <c r="L757" s="11"/>
    </row>
    <row r="758" spans="1:12" x14ac:dyDescent="0.25">
      <c r="A758" s="11"/>
      <c r="B758" s="11"/>
      <c r="C758" s="11"/>
      <c r="D758" s="11"/>
      <c r="E758" s="3">
        <f>IF(A758="","",COUNTIF('02_Guest_Database'!F2:F999,A758))</f>
      </c>
      <c r="F758" s="3">
        <f>IF(A758="","",MAX(0,D758-E758))</f>
      </c>
      <c r="G758" s="3">
        <f>IF(A758="","",IFERROR(E758/D758,0))</f>
      </c>
      <c r="H758" s="3">
        <f>IF(A758="","",IF(E758&gt;D758,"חריגת קיבולת",IF(E758=D758,"מלא","תקין")))</f>
      </c>
      <c r="I758" s="11"/>
      <c r="J758" s="11"/>
      <c r="K758" s="11"/>
      <c r="L758" s="11"/>
    </row>
    <row r="759" spans="1:12" x14ac:dyDescent="0.25">
      <c r="A759" s="11"/>
      <c r="B759" s="11"/>
      <c r="C759" s="11"/>
      <c r="D759" s="11"/>
      <c r="E759" s="3">
        <f>IF(A759="","",COUNTIF('02_Guest_Database'!F2:F999,A759))</f>
      </c>
      <c r="F759" s="3">
        <f>IF(A759="","",MAX(0,D759-E759))</f>
      </c>
      <c r="G759" s="3">
        <f>IF(A759="","",IFERROR(E759/D759,0))</f>
      </c>
      <c r="H759" s="3">
        <f>IF(A759="","",IF(E759&gt;D759,"חריגת קיבולת",IF(E759=D759,"מלא","תקין")))</f>
      </c>
      <c r="I759" s="11"/>
      <c r="J759" s="11"/>
      <c r="K759" s="11"/>
      <c r="L759" s="11"/>
    </row>
    <row r="760" spans="1:12" x14ac:dyDescent="0.25">
      <c r="A760" s="11"/>
      <c r="B760" s="11"/>
      <c r="C760" s="11"/>
      <c r="D760" s="11"/>
      <c r="E760" s="3">
        <f>IF(A760="","",COUNTIF('02_Guest_Database'!F2:F999,A760))</f>
      </c>
      <c r="F760" s="3">
        <f>IF(A760="","",MAX(0,D760-E760))</f>
      </c>
      <c r="G760" s="3">
        <f>IF(A760="","",IFERROR(E760/D760,0))</f>
      </c>
      <c r="H760" s="3">
        <f>IF(A760="","",IF(E760&gt;D760,"חריגת קיבולת",IF(E760=D760,"מלא","תקין")))</f>
      </c>
      <c r="I760" s="11"/>
      <c r="J760" s="11"/>
      <c r="K760" s="11"/>
      <c r="L760" s="11"/>
    </row>
    <row r="761" spans="1:12" x14ac:dyDescent="0.25">
      <c r="A761" s="11"/>
      <c r="B761" s="11"/>
      <c r="C761" s="11"/>
      <c r="D761" s="11"/>
      <c r="E761" s="3">
        <f>IF(A761="","",COUNTIF('02_Guest_Database'!F2:F999,A761))</f>
      </c>
      <c r="F761" s="3">
        <f>IF(A761="","",MAX(0,D761-E761))</f>
      </c>
      <c r="G761" s="3">
        <f>IF(A761="","",IFERROR(E761/D761,0))</f>
      </c>
      <c r="H761" s="3">
        <f>IF(A761="","",IF(E761&gt;D761,"חריגת קיבולת",IF(E761=D761,"מלא","תקין")))</f>
      </c>
      <c r="I761" s="11"/>
      <c r="J761" s="11"/>
      <c r="K761" s="11"/>
      <c r="L761" s="11"/>
    </row>
    <row r="762" spans="1:12" x14ac:dyDescent="0.25">
      <c r="A762" s="11"/>
      <c r="B762" s="11"/>
      <c r="C762" s="11"/>
      <c r="D762" s="11"/>
      <c r="E762" s="3">
        <f>IF(A762="","",COUNTIF('02_Guest_Database'!F2:F999,A762))</f>
      </c>
      <c r="F762" s="3">
        <f>IF(A762="","",MAX(0,D762-E762))</f>
      </c>
      <c r="G762" s="3">
        <f>IF(A762="","",IFERROR(E762/D762,0))</f>
      </c>
      <c r="H762" s="3">
        <f>IF(A762="","",IF(E762&gt;D762,"חריגת קיבולת",IF(E762=D762,"מלא","תקין")))</f>
      </c>
      <c r="I762" s="11"/>
      <c r="J762" s="11"/>
      <c r="K762" s="11"/>
      <c r="L762" s="11"/>
    </row>
    <row r="763" spans="1:12" x14ac:dyDescent="0.25">
      <c r="A763" s="11"/>
      <c r="B763" s="11"/>
      <c r="C763" s="11"/>
      <c r="D763" s="11"/>
      <c r="E763" s="3">
        <f>IF(A763="","",COUNTIF('02_Guest_Database'!F2:F999,A763))</f>
      </c>
      <c r="F763" s="3">
        <f>IF(A763="","",MAX(0,D763-E763))</f>
      </c>
      <c r="G763" s="3">
        <f>IF(A763="","",IFERROR(E763/D763,0))</f>
      </c>
      <c r="H763" s="3">
        <f>IF(A763="","",IF(E763&gt;D763,"חריגת קיבולת",IF(E763=D763,"מלא","תקין")))</f>
      </c>
      <c r="I763" s="11"/>
      <c r="J763" s="11"/>
      <c r="K763" s="11"/>
      <c r="L763" s="11"/>
    </row>
    <row r="764" spans="1:12" x14ac:dyDescent="0.25">
      <c r="A764" s="11"/>
      <c r="B764" s="11"/>
      <c r="C764" s="11"/>
      <c r="D764" s="11"/>
      <c r="E764" s="3">
        <f>IF(A764="","",COUNTIF('02_Guest_Database'!F2:F999,A764))</f>
      </c>
      <c r="F764" s="3">
        <f>IF(A764="","",MAX(0,D764-E764))</f>
      </c>
      <c r="G764" s="3">
        <f>IF(A764="","",IFERROR(E764/D764,0))</f>
      </c>
      <c r="H764" s="3">
        <f>IF(A764="","",IF(E764&gt;D764,"חריגת קיבולת",IF(E764=D764,"מלא","תקין")))</f>
      </c>
      <c r="I764" s="11"/>
      <c r="J764" s="11"/>
      <c r="K764" s="11"/>
      <c r="L764" s="11"/>
    </row>
    <row r="765" spans="1:12" x14ac:dyDescent="0.25">
      <c r="A765" s="11"/>
      <c r="B765" s="11"/>
      <c r="C765" s="11"/>
      <c r="D765" s="11"/>
      <c r="E765" s="3">
        <f>IF(A765="","",COUNTIF('02_Guest_Database'!F2:F999,A765))</f>
      </c>
      <c r="F765" s="3">
        <f>IF(A765="","",MAX(0,D765-E765))</f>
      </c>
      <c r="G765" s="3">
        <f>IF(A765="","",IFERROR(E765/D765,0))</f>
      </c>
      <c r="H765" s="3">
        <f>IF(A765="","",IF(E765&gt;D765,"חריגת קיבולת",IF(E765=D765,"מלא","תקין")))</f>
      </c>
      <c r="I765" s="11"/>
      <c r="J765" s="11"/>
      <c r="K765" s="11"/>
      <c r="L765" s="11"/>
    </row>
    <row r="766" spans="1:12" x14ac:dyDescent="0.25">
      <c r="A766" s="11"/>
      <c r="B766" s="11"/>
      <c r="C766" s="11"/>
      <c r="D766" s="11"/>
      <c r="E766" s="3">
        <f>IF(A766="","",COUNTIF('02_Guest_Database'!F2:F999,A766))</f>
      </c>
      <c r="F766" s="3">
        <f>IF(A766="","",MAX(0,D766-E766))</f>
      </c>
      <c r="G766" s="3">
        <f>IF(A766="","",IFERROR(E766/D766,0))</f>
      </c>
      <c r="H766" s="3">
        <f>IF(A766="","",IF(E766&gt;D766,"חריגת קיבולת",IF(E766=D766,"מלא","תקין")))</f>
      </c>
      <c r="I766" s="11"/>
      <c r="J766" s="11"/>
      <c r="K766" s="11"/>
      <c r="L766" s="11"/>
    </row>
    <row r="767" spans="1:12" x14ac:dyDescent="0.25">
      <c r="A767" s="11"/>
      <c r="B767" s="11"/>
      <c r="C767" s="11"/>
      <c r="D767" s="11"/>
      <c r="E767" s="3">
        <f>IF(A767="","",COUNTIF('02_Guest_Database'!F2:F999,A767))</f>
      </c>
      <c r="F767" s="3">
        <f>IF(A767="","",MAX(0,D767-E767))</f>
      </c>
      <c r="G767" s="3">
        <f>IF(A767="","",IFERROR(E767/D767,0))</f>
      </c>
      <c r="H767" s="3">
        <f>IF(A767="","",IF(E767&gt;D767,"חריגת קיבולת",IF(E767=D767,"מלא","תקין")))</f>
      </c>
      <c r="I767" s="11"/>
      <c r="J767" s="11"/>
      <c r="K767" s="11"/>
      <c r="L767" s="11"/>
    </row>
    <row r="768" spans="1:12" x14ac:dyDescent="0.25">
      <c r="A768" s="11"/>
      <c r="B768" s="11"/>
      <c r="C768" s="11"/>
      <c r="D768" s="11"/>
      <c r="E768" s="3">
        <f>IF(A768="","",COUNTIF('02_Guest_Database'!F2:F999,A768))</f>
      </c>
      <c r="F768" s="3">
        <f>IF(A768="","",MAX(0,D768-E768))</f>
      </c>
      <c r="G768" s="3">
        <f>IF(A768="","",IFERROR(E768/D768,0))</f>
      </c>
      <c r="H768" s="3">
        <f>IF(A768="","",IF(E768&gt;D768,"חריגת קיבולת",IF(E768=D768,"מלא","תקין")))</f>
      </c>
      <c r="I768" s="11"/>
      <c r="J768" s="11"/>
      <c r="K768" s="11"/>
      <c r="L768" s="11"/>
    </row>
    <row r="769" spans="1:12" x14ac:dyDescent="0.25">
      <c r="A769" s="11"/>
      <c r="B769" s="11"/>
      <c r="C769" s="11"/>
      <c r="D769" s="11"/>
      <c r="E769" s="3">
        <f>IF(A769="","",COUNTIF('02_Guest_Database'!F2:F999,A769))</f>
      </c>
      <c r="F769" s="3">
        <f>IF(A769="","",MAX(0,D769-E769))</f>
      </c>
      <c r="G769" s="3">
        <f>IF(A769="","",IFERROR(E769/D769,0))</f>
      </c>
      <c r="H769" s="3">
        <f>IF(A769="","",IF(E769&gt;D769,"חריגת קיבולת",IF(E769=D769,"מלא","תקין")))</f>
      </c>
      <c r="I769" s="11"/>
      <c r="J769" s="11"/>
      <c r="K769" s="11"/>
      <c r="L769" s="11"/>
    </row>
    <row r="770" spans="1:12" x14ac:dyDescent="0.25">
      <c r="A770" s="11"/>
      <c r="B770" s="11"/>
      <c r="C770" s="11"/>
      <c r="D770" s="11"/>
      <c r="E770" s="3">
        <f>IF(A770="","",COUNTIF('02_Guest_Database'!F2:F999,A770))</f>
      </c>
      <c r="F770" s="3">
        <f>IF(A770="","",MAX(0,D770-E770))</f>
      </c>
      <c r="G770" s="3">
        <f>IF(A770="","",IFERROR(E770/D770,0))</f>
      </c>
      <c r="H770" s="3">
        <f>IF(A770="","",IF(E770&gt;D770,"חריגת קיבולת",IF(E770=D770,"מלא","תקין")))</f>
      </c>
      <c r="I770" s="11"/>
      <c r="J770" s="11"/>
      <c r="K770" s="11"/>
      <c r="L770" s="11"/>
    </row>
    <row r="771" spans="1:12" x14ac:dyDescent="0.25">
      <c r="A771" s="11"/>
      <c r="B771" s="11"/>
      <c r="C771" s="11"/>
      <c r="D771" s="11"/>
      <c r="E771" s="3">
        <f>IF(A771="","",COUNTIF('02_Guest_Database'!F2:F999,A771))</f>
      </c>
      <c r="F771" s="3">
        <f>IF(A771="","",MAX(0,D771-E771))</f>
      </c>
      <c r="G771" s="3">
        <f>IF(A771="","",IFERROR(E771/D771,0))</f>
      </c>
      <c r="H771" s="3">
        <f>IF(A771="","",IF(E771&gt;D771,"חריגת קיבולת",IF(E771=D771,"מלא","תקין")))</f>
      </c>
      <c r="I771" s="11"/>
      <c r="J771" s="11"/>
      <c r="K771" s="11"/>
      <c r="L771" s="11"/>
    </row>
    <row r="772" spans="1:12" x14ac:dyDescent="0.25">
      <c r="A772" s="11"/>
      <c r="B772" s="11"/>
      <c r="C772" s="11"/>
      <c r="D772" s="11"/>
      <c r="E772" s="3">
        <f>IF(A772="","",COUNTIF('02_Guest_Database'!F2:F999,A772))</f>
      </c>
      <c r="F772" s="3">
        <f>IF(A772="","",MAX(0,D772-E772))</f>
      </c>
      <c r="G772" s="3">
        <f>IF(A772="","",IFERROR(E772/D772,0))</f>
      </c>
      <c r="H772" s="3">
        <f>IF(A772="","",IF(E772&gt;D772,"חריגת קיבולת",IF(E772=D772,"מלא","תקין")))</f>
      </c>
      <c r="I772" s="11"/>
      <c r="J772" s="11"/>
      <c r="K772" s="11"/>
      <c r="L772" s="11"/>
    </row>
    <row r="773" spans="1:12" x14ac:dyDescent="0.25">
      <c r="A773" s="11"/>
      <c r="B773" s="11"/>
      <c r="C773" s="11"/>
      <c r="D773" s="11"/>
      <c r="E773" s="3">
        <f>IF(A773="","",COUNTIF('02_Guest_Database'!F2:F999,A773))</f>
      </c>
      <c r="F773" s="3">
        <f>IF(A773="","",MAX(0,D773-E773))</f>
      </c>
      <c r="G773" s="3">
        <f>IF(A773="","",IFERROR(E773/D773,0))</f>
      </c>
      <c r="H773" s="3">
        <f>IF(A773="","",IF(E773&gt;D773,"חריגת קיבולת",IF(E773=D773,"מלא","תקין")))</f>
      </c>
      <c r="I773" s="11"/>
      <c r="J773" s="11"/>
      <c r="K773" s="11"/>
      <c r="L773" s="11"/>
    </row>
    <row r="774" spans="1:12" x14ac:dyDescent="0.25">
      <c r="A774" s="11"/>
      <c r="B774" s="11"/>
      <c r="C774" s="11"/>
      <c r="D774" s="11"/>
      <c r="E774" s="3">
        <f>IF(A774="","",COUNTIF('02_Guest_Database'!F2:F999,A774))</f>
      </c>
      <c r="F774" s="3">
        <f>IF(A774="","",MAX(0,D774-E774))</f>
      </c>
      <c r="G774" s="3">
        <f>IF(A774="","",IFERROR(E774/D774,0))</f>
      </c>
      <c r="H774" s="3">
        <f>IF(A774="","",IF(E774&gt;D774,"חריגת קיבולת",IF(E774=D774,"מלא","תקין")))</f>
      </c>
      <c r="I774" s="11"/>
      <c r="J774" s="11"/>
      <c r="K774" s="11"/>
      <c r="L774" s="11"/>
    </row>
    <row r="775" spans="1:12" x14ac:dyDescent="0.25">
      <c r="A775" s="11"/>
      <c r="B775" s="11"/>
      <c r="C775" s="11"/>
      <c r="D775" s="11"/>
      <c r="E775" s="3">
        <f>IF(A775="","",COUNTIF('02_Guest_Database'!F2:F999,A775))</f>
      </c>
      <c r="F775" s="3">
        <f>IF(A775="","",MAX(0,D775-E775))</f>
      </c>
      <c r="G775" s="3">
        <f>IF(A775="","",IFERROR(E775/D775,0))</f>
      </c>
      <c r="H775" s="3">
        <f>IF(A775="","",IF(E775&gt;D775,"חריגת קיבולת",IF(E775=D775,"מלא","תקין")))</f>
      </c>
      <c r="I775" s="11"/>
      <c r="J775" s="11"/>
      <c r="K775" s="11"/>
      <c r="L775" s="11"/>
    </row>
    <row r="776" spans="1:12" x14ac:dyDescent="0.25">
      <c r="A776" s="11"/>
      <c r="B776" s="11"/>
      <c r="C776" s="11"/>
      <c r="D776" s="11"/>
      <c r="E776" s="3">
        <f>IF(A776="","",COUNTIF('02_Guest_Database'!F2:F999,A776))</f>
      </c>
      <c r="F776" s="3">
        <f>IF(A776="","",MAX(0,D776-E776))</f>
      </c>
      <c r="G776" s="3">
        <f>IF(A776="","",IFERROR(E776/D776,0))</f>
      </c>
      <c r="H776" s="3">
        <f>IF(A776="","",IF(E776&gt;D776,"חריגת קיבולת",IF(E776=D776,"מלא","תקין")))</f>
      </c>
      <c r="I776" s="11"/>
      <c r="J776" s="11"/>
      <c r="K776" s="11"/>
      <c r="L776" s="11"/>
    </row>
    <row r="777" spans="1:12" x14ac:dyDescent="0.25">
      <c r="A777" s="11"/>
      <c r="B777" s="11"/>
      <c r="C777" s="11"/>
      <c r="D777" s="11"/>
      <c r="E777" s="3">
        <f>IF(A777="","",COUNTIF('02_Guest_Database'!F2:F999,A777))</f>
      </c>
      <c r="F777" s="3">
        <f>IF(A777="","",MAX(0,D777-E777))</f>
      </c>
      <c r="G777" s="3">
        <f>IF(A777="","",IFERROR(E777/D777,0))</f>
      </c>
      <c r="H777" s="3">
        <f>IF(A777="","",IF(E777&gt;D777,"חריגת קיבולת",IF(E777=D777,"מלא","תקין")))</f>
      </c>
      <c r="I777" s="11"/>
      <c r="J777" s="11"/>
      <c r="K777" s="11"/>
      <c r="L777" s="11"/>
    </row>
    <row r="778" spans="1:12" x14ac:dyDescent="0.25">
      <c r="A778" s="11"/>
      <c r="B778" s="11"/>
      <c r="C778" s="11"/>
      <c r="D778" s="11"/>
      <c r="E778" s="3">
        <f>IF(A778="","",COUNTIF('02_Guest_Database'!F2:F999,A778))</f>
      </c>
      <c r="F778" s="3">
        <f>IF(A778="","",MAX(0,D778-E778))</f>
      </c>
      <c r="G778" s="3">
        <f>IF(A778="","",IFERROR(E778/D778,0))</f>
      </c>
      <c r="H778" s="3">
        <f>IF(A778="","",IF(E778&gt;D778,"חריגת קיבולת",IF(E778=D778,"מלא","תקין")))</f>
      </c>
      <c r="I778" s="11"/>
      <c r="J778" s="11"/>
      <c r="K778" s="11"/>
      <c r="L778" s="11"/>
    </row>
    <row r="779" spans="1:12" x14ac:dyDescent="0.25">
      <c r="A779" s="11"/>
      <c r="B779" s="11"/>
      <c r="C779" s="11"/>
      <c r="D779" s="11"/>
      <c r="E779" s="3">
        <f>IF(A779="","",COUNTIF('02_Guest_Database'!F2:F999,A779))</f>
      </c>
      <c r="F779" s="3">
        <f>IF(A779="","",MAX(0,D779-E779))</f>
      </c>
      <c r="G779" s="3">
        <f>IF(A779="","",IFERROR(E779/D779,0))</f>
      </c>
      <c r="H779" s="3">
        <f>IF(A779="","",IF(E779&gt;D779,"חריגת קיבולת",IF(E779=D779,"מלא","תקין")))</f>
      </c>
      <c r="I779" s="11"/>
      <c r="J779" s="11"/>
      <c r="K779" s="11"/>
      <c r="L779" s="11"/>
    </row>
    <row r="780" spans="1:12" x14ac:dyDescent="0.25">
      <c r="A780" s="11"/>
      <c r="B780" s="11"/>
      <c r="C780" s="11"/>
      <c r="D780" s="11"/>
      <c r="E780" s="3">
        <f>IF(A780="","",COUNTIF('02_Guest_Database'!F2:F999,A780))</f>
      </c>
      <c r="F780" s="3">
        <f>IF(A780="","",MAX(0,D780-E780))</f>
      </c>
      <c r="G780" s="3">
        <f>IF(A780="","",IFERROR(E780/D780,0))</f>
      </c>
      <c r="H780" s="3">
        <f>IF(A780="","",IF(E780&gt;D780,"חריגת קיבולת",IF(E780=D780,"מלא","תקין")))</f>
      </c>
      <c r="I780" s="11"/>
      <c r="J780" s="11"/>
      <c r="K780" s="11"/>
      <c r="L780" s="11"/>
    </row>
    <row r="781" spans="1:12" x14ac:dyDescent="0.25">
      <c r="A781" s="11"/>
      <c r="B781" s="11"/>
      <c r="C781" s="11"/>
      <c r="D781" s="11"/>
      <c r="E781" s="3">
        <f>IF(A781="","",COUNTIF('02_Guest_Database'!F2:F999,A781))</f>
      </c>
      <c r="F781" s="3">
        <f>IF(A781="","",MAX(0,D781-E781))</f>
      </c>
      <c r="G781" s="3">
        <f>IF(A781="","",IFERROR(E781/D781,0))</f>
      </c>
      <c r="H781" s="3">
        <f>IF(A781="","",IF(E781&gt;D781,"חריגת קיבולת",IF(E781=D781,"מלא","תקין")))</f>
      </c>
      <c r="I781" s="11"/>
      <c r="J781" s="11"/>
      <c r="K781" s="11"/>
      <c r="L781" s="11"/>
    </row>
    <row r="782" spans="1:12" x14ac:dyDescent="0.25">
      <c r="A782" s="11"/>
      <c r="B782" s="11"/>
      <c r="C782" s="11"/>
      <c r="D782" s="11"/>
      <c r="E782" s="3">
        <f>IF(A782="","",COUNTIF('02_Guest_Database'!F2:F999,A782))</f>
      </c>
      <c r="F782" s="3">
        <f>IF(A782="","",MAX(0,D782-E782))</f>
      </c>
      <c r="G782" s="3">
        <f>IF(A782="","",IFERROR(E782/D782,0))</f>
      </c>
      <c r="H782" s="3">
        <f>IF(A782="","",IF(E782&gt;D782,"חריגת קיבולת",IF(E782=D782,"מלא","תקין")))</f>
      </c>
      <c r="I782" s="11"/>
      <c r="J782" s="11"/>
      <c r="K782" s="11"/>
      <c r="L782" s="11"/>
    </row>
    <row r="783" spans="1:12" x14ac:dyDescent="0.25">
      <c r="A783" s="11"/>
      <c r="B783" s="11"/>
      <c r="C783" s="11"/>
      <c r="D783" s="11"/>
      <c r="E783" s="3">
        <f>IF(A783="","",COUNTIF('02_Guest_Database'!F2:F999,A783))</f>
      </c>
      <c r="F783" s="3">
        <f>IF(A783="","",MAX(0,D783-E783))</f>
      </c>
      <c r="G783" s="3">
        <f>IF(A783="","",IFERROR(E783/D783,0))</f>
      </c>
      <c r="H783" s="3">
        <f>IF(A783="","",IF(E783&gt;D783,"חריגת קיבולת",IF(E783=D783,"מלא","תקין")))</f>
      </c>
      <c r="I783" s="11"/>
      <c r="J783" s="11"/>
      <c r="K783" s="11"/>
      <c r="L783" s="11"/>
    </row>
    <row r="784" spans="1:12" x14ac:dyDescent="0.25">
      <c r="A784" s="11"/>
      <c r="B784" s="11"/>
      <c r="C784" s="11"/>
      <c r="D784" s="11"/>
      <c r="E784" s="3">
        <f>IF(A784="","",COUNTIF('02_Guest_Database'!F2:F999,A784))</f>
      </c>
      <c r="F784" s="3">
        <f>IF(A784="","",MAX(0,D784-E784))</f>
      </c>
      <c r="G784" s="3">
        <f>IF(A784="","",IFERROR(E784/D784,0))</f>
      </c>
      <c r="H784" s="3">
        <f>IF(A784="","",IF(E784&gt;D784,"חריגת קיבולת",IF(E784=D784,"מלא","תקין")))</f>
      </c>
      <c r="I784" s="11"/>
      <c r="J784" s="11"/>
      <c r="K784" s="11"/>
      <c r="L784" s="11"/>
    </row>
    <row r="785" spans="1:12" x14ac:dyDescent="0.25">
      <c r="A785" s="11"/>
      <c r="B785" s="11"/>
      <c r="C785" s="11"/>
      <c r="D785" s="11"/>
      <c r="E785" s="3">
        <f>IF(A785="","",COUNTIF('02_Guest_Database'!F2:F999,A785))</f>
      </c>
      <c r="F785" s="3">
        <f>IF(A785="","",MAX(0,D785-E785))</f>
      </c>
      <c r="G785" s="3">
        <f>IF(A785="","",IFERROR(E785/D785,0))</f>
      </c>
      <c r="H785" s="3">
        <f>IF(A785="","",IF(E785&gt;D785,"חריגת קיבולת",IF(E785=D785,"מלא","תקין")))</f>
      </c>
      <c r="I785" s="11"/>
      <c r="J785" s="11"/>
      <c r="K785" s="11"/>
      <c r="L785" s="11"/>
    </row>
    <row r="786" spans="1:12" x14ac:dyDescent="0.25">
      <c r="A786" s="11"/>
      <c r="B786" s="11"/>
      <c r="C786" s="11"/>
      <c r="D786" s="11"/>
      <c r="E786" s="3">
        <f>IF(A786="","",COUNTIF('02_Guest_Database'!F2:F999,A786))</f>
      </c>
      <c r="F786" s="3">
        <f>IF(A786="","",MAX(0,D786-E786))</f>
      </c>
      <c r="G786" s="3">
        <f>IF(A786="","",IFERROR(E786/D786,0))</f>
      </c>
      <c r="H786" s="3">
        <f>IF(A786="","",IF(E786&gt;D786,"חריגת קיבולת",IF(E786=D786,"מלא","תקין")))</f>
      </c>
      <c r="I786" s="11"/>
      <c r="J786" s="11"/>
      <c r="K786" s="11"/>
      <c r="L786" s="11"/>
    </row>
    <row r="787" spans="1:12" x14ac:dyDescent="0.25">
      <c r="A787" s="11"/>
      <c r="B787" s="11"/>
      <c r="C787" s="11"/>
      <c r="D787" s="11"/>
      <c r="E787" s="3">
        <f>IF(A787="","",COUNTIF('02_Guest_Database'!F2:F999,A787))</f>
      </c>
      <c r="F787" s="3">
        <f>IF(A787="","",MAX(0,D787-E787))</f>
      </c>
      <c r="G787" s="3">
        <f>IF(A787="","",IFERROR(E787/D787,0))</f>
      </c>
      <c r="H787" s="3">
        <f>IF(A787="","",IF(E787&gt;D787,"חריגת קיבולת",IF(E787=D787,"מלא","תקין")))</f>
      </c>
      <c r="I787" s="11"/>
      <c r="J787" s="11"/>
      <c r="K787" s="11"/>
      <c r="L787" s="11"/>
    </row>
    <row r="788" spans="1:12" x14ac:dyDescent="0.25">
      <c r="A788" s="11"/>
      <c r="B788" s="11"/>
      <c r="C788" s="11"/>
      <c r="D788" s="11"/>
      <c r="E788" s="3">
        <f>IF(A788="","",COUNTIF('02_Guest_Database'!F2:F999,A788))</f>
      </c>
      <c r="F788" s="3">
        <f>IF(A788="","",MAX(0,D788-E788))</f>
      </c>
      <c r="G788" s="3">
        <f>IF(A788="","",IFERROR(E788/D788,0))</f>
      </c>
      <c r="H788" s="3">
        <f>IF(A788="","",IF(E788&gt;D788,"חריגת קיבולת",IF(E788=D788,"מלא","תקין")))</f>
      </c>
      <c r="I788" s="11"/>
      <c r="J788" s="11"/>
      <c r="K788" s="11"/>
      <c r="L788" s="11"/>
    </row>
    <row r="789" spans="1:12" x14ac:dyDescent="0.25">
      <c r="A789" s="11"/>
      <c r="B789" s="11"/>
      <c r="C789" s="11"/>
      <c r="D789" s="11"/>
      <c r="E789" s="3">
        <f>IF(A789="","",COUNTIF('02_Guest_Database'!F2:F999,A789))</f>
      </c>
      <c r="F789" s="3">
        <f>IF(A789="","",MAX(0,D789-E789))</f>
      </c>
      <c r="G789" s="3">
        <f>IF(A789="","",IFERROR(E789/D789,0))</f>
      </c>
      <c r="H789" s="3">
        <f>IF(A789="","",IF(E789&gt;D789,"חריגת קיבולת",IF(E789=D789,"מלא","תקין")))</f>
      </c>
      <c r="I789" s="11"/>
      <c r="J789" s="11"/>
      <c r="K789" s="11"/>
      <c r="L789" s="11"/>
    </row>
    <row r="790" spans="1:12" x14ac:dyDescent="0.25">
      <c r="A790" s="11"/>
      <c r="B790" s="11"/>
      <c r="C790" s="11"/>
      <c r="D790" s="11"/>
      <c r="E790" s="3">
        <f>IF(A790="","",COUNTIF('02_Guest_Database'!F2:F999,A790))</f>
      </c>
      <c r="F790" s="3">
        <f>IF(A790="","",MAX(0,D790-E790))</f>
      </c>
      <c r="G790" s="3">
        <f>IF(A790="","",IFERROR(E790/D790,0))</f>
      </c>
      <c r="H790" s="3">
        <f>IF(A790="","",IF(E790&gt;D790,"חריגת קיבולת",IF(E790=D790,"מלא","תקין")))</f>
      </c>
      <c r="I790" s="11"/>
      <c r="J790" s="11"/>
      <c r="K790" s="11"/>
      <c r="L790" s="11"/>
    </row>
    <row r="791" spans="1:12" x14ac:dyDescent="0.25">
      <c r="A791" s="11"/>
      <c r="B791" s="11"/>
      <c r="C791" s="11"/>
      <c r="D791" s="11"/>
      <c r="E791" s="3">
        <f>IF(A791="","",COUNTIF('02_Guest_Database'!F2:F999,A791))</f>
      </c>
      <c r="F791" s="3">
        <f>IF(A791="","",MAX(0,D791-E791))</f>
      </c>
      <c r="G791" s="3">
        <f>IF(A791="","",IFERROR(E791/D791,0))</f>
      </c>
      <c r="H791" s="3">
        <f>IF(A791="","",IF(E791&gt;D791,"חריגת קיבולת",IF(E791=D791,"מלא","תקין")))</f>
      </c>
      <c r="I791" s="11"/>
      <c r="J791" s="11"/>
      <c r="K791" s="11"/>
      <c r="L791" s="11"/>
    </row>
    <row r="792" spans="1:12" x14ac:dyDescent="0.25">
      <c r="A792" s="11"/>
      <c r="B792" s="11"/>
      <c r="C792" s="11"/>
      <c r="D792" s="11"/>
      <c r="E792" s="3">
        <f>IF(A792="","",COUNTIF('02_Guest_Database'!F2:F999,A792))</f>
      </c>
      <c r="F792" s="3">
        <f>IF(A792="","",MAX(0,D792-E792))</f>
      </c>
      <c r="G792" s="3">
        <f>IF(A792="","",IFERROR(E792/D792,0))</f>
      </c>
      <c r="H792" s="3">
        <f>IF(A792="","",IF(E792&gt;D792,"חריגת קיבולת",IF(E792=D792,"מלא","תקין")))</f>
      </c>
      <c r="I792" s="11"/>
      <c r="J792" s="11"/>
      <c r="K792" s="11"/>
      <c r="L792" s="11"/>
    </row>
    <row r="793" spans="1:12" x14ac:dyDescent="0.25">
      <c r="A793" s="11"/>
      <c r="B793" s="11"/>
      <c r="C793" s="11"/>
      <c r="D793" s="11"/>
      <c r="E793" s="3">
        <f>IF(A793="","",COUNTIF('02_Guest_Database'!F2:F999,A793))</f>
      </c>
      <c r="F793" s="3">
        <f>IF(A793="","",MAX(0,D793-E793))</f>
      </c>
      <c r="G793" s="3">
        <f>IF(A793="","",IFERROR(E793/D793,0))</f>
      </c>
      <c r="H793" s="3">
        <f>IF(A793="","",IF(E793&gt;D793,"חריגת קיבולת",IF(E793=D793,"מלא","תקין")))</f>
      </c>
      <c r="I793" s="11"/>
      <c r="J793" s="11"/>
      <c r="K793" s="11"/>
      <c r="L793" s="11"/>
    </row>
    <row r="794" spans="1:12" x14ac:dyDescent="0.25">
      <c r="A794" s="11"/>
      <c r="B794" s="11"/>
      <c r="C794" s="11"/>
      <c r="D794" s="11"/>
      <c r="E794" s="3">
        <f>IF(A794="","",COUNTIF('02_Guest_Database'!F2:F999,A794))</f>
      </c>
      <c r="F794" s="3">
        <f>IF(A794="","",MAX(0,D794-E794))</f>
      </c>
      <c r="G794" s="3">
        <f>IF(A794="","",IFERROR(E794/D794,0))</f>
      </c>
      <c r="H794" s="3">
        <f>IF(A794="","",IF(E794&gt;D794,"חריגת קיבולת",IF(E794=D794,"מלא","תקין")))</f>
      </c>
      <c r="I794" s="11"/>
      <c r="J794" s="11"/>
      <c r="K794" s="11"/>
      <c r="L794" s="11"/>
    </row>
    <row r="795" spans="1:12" x14ac:dyDescent="0.25">
      <c r="A795" s="11"/>
      <c r="B795" s="11"/>
      <c r="C795" s="11"/>
      <c r="D795" s="11"/>
      <c r="E795" s="3">
        <f>IF(A795="","",COUNTIF('02_Guest_Database'!F2:F999,A795))</f>
      </c>
      <c r="F795" s="3">
        <f>IF(A795="","",MAX(0,D795-E795))</f>
      </c>
      <c r="G795" s="3">
        <f>IF(A795="","",IFERROR(E795/D795,0))</f>
      </c>
      <c r="H795" s="3">
        <f>IF(A795="","",IF(E795&gt;D795,"חריגת קיבולת",IF(E795=D795,"מלא","תקין")))</f>
      </c>
      <c r="I795" s="11"/>
      <c r="J795" s="11"/>
      <c r="K795" s="11"/>
      <c r="L795" s="11"/>
    </row>
    <row r="796" spans="1:12" x14ac:dyDescent="0.25">
      <c r="A796" s="11"/>
      <c r="B796" s="11"/>
      <c r="C796" s="11"/>
      <c r="D796" s="11"/>
      <c r="E796" s="3">
        <f>IF(A796="","",COUNTIF('02_Guest_Database'!F2:F999,A796))</f>
      </c>
      <c r="F796" s="3">
        <f>IF(A796="","",MAX(0,D796-E796))</f>
      </c>
      <c r="G796" s="3">
        <f>IF(A796="","",IFERROR(E796/D796,0))</f>
      </c>
      <c r="H796" s="3">
        <f>IF(A796="","",IF(E796&gt;D796,"חריגת קיבולת",IF(E796=D796,"מלא","תקין")))</f>
      </c>
      <c r="I796" s="11"/>
      <c r="J796" s="11"/>
      <c r="K796" s="11"/>
      <c r="L796" s="11"/>
    </row>
    <row r="797" spans="1:12" x14ac:dyDescent="0.25">
      <c r="A797" s="11"/>
      <c r="B797" s="11"/>
      <c r="C797" s="11"/>
      <c r="D797" s="11"/>
      <c r="E797" s="3">
        <f>IF(A797="","",COUNTIF('02_Guest_Database'!F2:F999,A797))</f>
      </c>
      <c r="F797" s="3">
        <f>IF(A797="","",MAX(0,D797-E797))</f>
      </c>
      <c r="G797" s="3">
        <f>IF(A797="","",IFERROR(E797/D797,0))</f>
      </c>
      <c r="H797" s="3">
        <f>IF(A797="","",IF(E797&gt;D797,"חריגת קיבולת",IF(E797=D797,"מלא","תקין")))</f>
      </c>
      <c r="I797" s="11"/>
      <c r="J797" s="11"/>
      <c r="K797" s="11"/>
      <c r="L797" s="11"/>
    </row>
    <row r="798" spans="1:12" x14ac:dyDescent="0.25">
      <c r="A798" s="11"/>
      <c r="B798" s="11"/>
      <c r="C798" s="11"/>
      <c r="D798" s="11"/>
      <c r="E798" s="3">
        <f>IF(A798="","",COUNTIF('02_Guest_Database'!F2:F999,A798))</f>
      </c>
      <c r="F798" s="3">
        <f>IF(A798="","",MAX(0,D798-E798))</f>
      </c>
      <c r="G798" s="3">
        <f>IF(A798="","",IFERROR(E798/D798,0))</f>
      </c>
      <c r="H798" s="3">
        <f>IF(A798="","",IF(E798&gt;D798,"חריגת קיבולת",IF(E798=D798,"מלא","תקין")))</f>
      </c>
      <c r="I798" s="11"/>
      <c r="J798" s="11"/>
      <c r="K798" s="11"/>
      <c r="L798" s="11"/>
    </row>
    <row r="799" spans="1:12" x14ac:dyDescent="0.25">
      <c r="A799" s="11"/>
      <c r="B799" s="11"/>
      <c r="C799" s="11"/>
      <c r="D799" s="11"/>
      <c r="E799" s="3">
        <f>IF(A799="","",COUNTIF('02_Guest_Database'!F2:F999,A799))</f>
      </c>
      <c r="F799" s="3">
        <f>IF(A799="","",MAX(0,D799-E799))</f>
      </c>
      <c r="G799" s="3">
        <f>IF(A799="","",IFERROR(E799/D799,0))</f>
      </c>
      <c r="H799" s="3">
        <f>IF(A799="","",IF(E799&gt;D799,"חריגת קיבולת",IF(E799=D799,"מלא","תקין")))</f>
      </c>
      <c r="I799" s="11"/>
      <c r="J799" s="11"/>
      <c r="K799" s="11"/>
      <c r="L799" s="11"/>
    </row>
    <row r="800" spans="1:12" x14ac:dyDescent="0.25">
      <c r="A800" s="11"/>
      <c r="B800" s="11"/>
      <c r="C800" s="11"/>
      <c r="D800" s="11"/>
      <c r="E800" s="3">
        <f>IF(A800="","",COUNTIF('02_Guest_Database'!F2:F999,A800))</f>
      </c>
      <c r="F800" s="3">
        <f>IF(A800="","",MAX(0,D800-E800))</f>
      </c>
      <c r="G800" s="3">
        <f>IF(A800="","",IFERROR(E800/D800,0))</f>
      </c>
      <c r="H800" s="3">
        <f>IF(A800="","",IF(E800&gt;D800,"חריגת קיבולת",IF(E800=D800,"מלא","תקין")))</f>
      </c>
      <c r="I800" s="11"/>
      <c r="J800" s="11"/>
      <c r="K800" s="11"/>
      <c r="L800" s="11"/>
    </row>
    <row r="801" spans="1:12" x14ac:dyDescent="0.25">
      <c r="A801" s="11"/>
      <c r="B801" s="11"/>
      <c r="C801" s="11"/>
      <c r="D801" s="11"/>
      <c r="E801" s="3">
        <f>IF(A801="","",COUNTIF('02_Guest_Database'!F2:F999,A801))</f>
      </c>
      <c r="F801" s="3">
        <f>IF(A801="","",MAX(0,D801-E801))</f>
      </c>
      <c r="G801" s="3">
        <f>IF(A801="","",IFERROR(E801/D801,0))</f>
      </c>
      <c r="H801" s="3">
        <f>IF(A801="","",IF(E801&gt;D801,"חריגת קיבולת",IF(E801=D801,"מלא","תקין")))</f>
      </c>
      <c r="I801" s="11"/>
      <c r="J801" s="11"/>
      <c r="K801" s="11"/>
      <c r="L801" s="11"/>
    </row>
    <row r="802" spans="1:12" x14ac:dyDescent="0.25">
      <c r="A802" s="11"/>
      <c r="B802" s="11"/>
      <c r="C802" s="11"/>
      <c r="D802" s="11"/>
      <c r="E802" s="3">
        <f>IF(A802="","",COUNTIF('02_Guest_Database'!F2:F999,A802))</f>
      </c>
      <c r="F802" s="3">
        <f>IF(A802="","",MAX(0,D802-E802))</f>
      </c>
      <c r="G802" s="3">
        <f>IF(A802="","",IFERROR(E802/D802,0))</f>
      </c>
      <c r="H802" s="3">
        <f>IF(A802="","",IF(E802&gt;D802,"חריגת קיבולת",IF(E802=D802,"מלא","תקין")))</f>
      </c>
      <c r="I802" s="11"/>
      <c r="J802" s="11"/>
      <c r="K802" s="11"/>
      <c r="L802" s="11"/>
    </row>
    <row r="803" spans="1:12" x14ac:dyDescent="0.25">
      <c r="A803" s="11"/>
      <c r="B803" s="11"/>
      <c r="C803" s="11"/>
      <c r="D803" s="11"/>
      <c r="E803" s="3">
        <f>IF(A803="","",COUNTIF('02_Guest_Database'!F2:F999,A803))</f>
      </c>
      <c r="F803" s="3">
        <f>IF(A803="","",MAX(0,D803-E803))</f>
      </c>
      <c r="G803" s="3">
        <f>IF(A803="","",IFERROR(E803/D803,0))</f>
      </c>
      <c r="H803" s="3">
        <f>IF(A803="","",IF(E803&gt;D803,"חריגת קיבולת",IF(E803=D803,"מלא","תקין")))</f>
      </c>
      <c r="I803" s="11"/>
      <c r="J803" s="11"/>
      <c r="K803" s="11"/>
      <c r="L803" s="11"/>
    </row>
    <row r="804" spans="1:12" x14ac:dyDescent="0.25">
      <c r="A804" s="11"/>
      <c r="B804" s="11"/>
      <c r="C804" s="11"/>
      <c r="D804" s="11"/>
      <c r="E804" s="3">
        <f>IF(A804="","",COUNTIF('02_Guest_Database'!F2:F999,A804))</f>
      </c>
      <c r="F804" s="3">
        <f>IF(A804="","",MAX(0,D804-E804))</f>
      </c>
      <c r="G804" s="3">
        <f>IF(A804="","",IFERROR(E804/D804,0))</f>
      </c>
      <c r="H804" s="3">
        <f>IF(A804="","",IF(E804&gt;D804,"חריגת קיבולת",IF(E804=D804,"מלא","תקין")))</f>
      </c>
      <c r="I804" s="11"/>
      <c r="J804" s="11"/>
      <c r="K804" s="11"/>
      <c r="L804" s="11"/>
    </row>
    <row r="805" spans="1:12" x14ac:dyDescent="0.25">
      <c r="A805" s="11"/>
      <c r="B805" s="11"/>
      <c r="C805" s="11"/>
      <c r="D805" s="11"/>
      <c r="E805" s="3">
        <f>IF(A805="","",COUNTIF('02_Guest_Database'!F2:F999,A805))</f>
      </c>
      <c r="F805" s="3">
        <f>IF(A805="","",MAX(0,D805-E805))</f>
      </c>
      <c r="G805" s="3">
        <f>IF(A805="","",IFERROR(E805/D805,0))</f>
      </c>
      <c r="H805" s="3">
        <f>IF(A805="","",IF(E805&gt;D805,"חריגת קיבולת",IF(E805=D805,"מלא","תקין")))</f>
      </c>
      <c r="I805" s="11"/>
      <c r="J805" s="11"/>
      <c r="K805" s="11"/>
      <c r="L805" s="11"/>
    </row>
    <row r="806" spans="1:12" x14ac:dyDescent="0.25">
      <c r="A806" s="11"/>
      <c r="B806" s="11"/>
      <c r="C806" s="11"/>
      <c r="D806" s="11"/>
      <c r="E806" s="3">
        <f>IF(A806="","",COUNTIF('02_Guest_Database'!F2:F999,A806))</f>
      </c>
      <c r="F806" s="3">
        <f>IF(A806="","",MAX(0,D806-E806))</f>
      </c>
      <c r="G806" s="3">
        <f>IF(A806="","",IFERROR(E806/D806,0))</f>
      </c>
      <c r="H806" s="3">
        <f>IF(A806="","",IF(E806&gt;D806,"חריגת קיבולת",IF(E806=D806,"מלא","תקין")))</f>
      </c>
      <c r="I806" s="11"/>
      <c r="J806" s="11"/>
      <c r="K806" s="11"/>
      <c r="L806" s="11"/>
    </row>
    <row r="807" spans="1:12" x14ac:dyDescent="0.25">
      <c r="A807" s="11"/>
      <c r="B807" s="11"/>
      <c r="C807" s="11"/>
      <c r="D807" s="11"/>
      <c r="E807" s="3">
        <f>IF(A807="","",COUNTIF('02_Guest_Database'!F2:F999,A807))</f>
      </c>
      <c r="F807" s="3">
        <f>IF(A807="","",MAX(0,D807-E807))</f>
      </c>
      <c r="G807" s="3">
        <f>IF(A807="","",IFERROR(E807/D807,0))</f>
      </c>
      <c r="H807" s="3">
        <f>IF(A807="","",IF(E807&gt;D807,"חריגת קיבולת",IF(E807=D807,"מלא","תקין")))</f>
      </c>
      <c r="I807" s="11"/>
      <c r="J807" s="11"/>
      <c r="K807" s="11"/>
      <c r="L807" s="11"/>
    </row>
    <row r="808" spans="1:12" x14ac:dyDescent="0.25">
      <c r="A808" s="11"/>
      <c r="B808" s="11"/>
      <c r="C808" s="11"/>
      <c r="D808" s="11"/>
      <c r="E808" s="3">
        <f>IF(A808="","",COUNTIF('02_Guest_Database'!F2:F999,A808))</f>
      </c>
      <c r="F808" s="3">
        <f>IF(A808="","",MAX(0,D808-E808))</f>
      </c>
      <c r="G808" s="3">
        <f>IF(A808="","",IFERROR(E808/D808,0))</f>
      </c>
      <c r="H808" s="3">
        <f>IF(A808="","",IF(E808&gt;D808,"חריגת קיבולת",IF(E808=D808,"מלא","תקין")))</f>
      </c>
      <c r="I808" s="11"/>
      <c r="J808" s="11"/>
      <c r="K808" s="11"/>
      <c r="L808" s="11"/>
    </row>
    <row r="809" spans="1:12" x14ac:dyDescent="0.25">
      <c r="A809" s="11"/>
      <c r="B809" s="11"/>
      <c r="C809" s="11"/>
      <c r="D809" s="11"/>
      <c r="E809" s="3">
        <f>IF(A809="","",COUNTIF('02_Guest_Database'!F2:F999,A809))</f>
      </c>
      <c r="F809" s="3">
        <f>IF(A809="","",MAX(0,D809-E809))</f>
      </c>
      <c r="G809" s="3">
        <f>IF(A809="","",IFERROR(E809/D809,0))</f>
      </c>
      <c r="H809" s="3">
        <f>IF(A809="","",IF(E809&gt;D809,"חריגת קיבולת",IF(E809=D809,"מלא","תקין")))</f>
      </c>
      <c r="I809" s="11"/>
      <c r="J809" s="11"/>
      <c r="K809" s="11"/>
      <c r="L809" s="11"/>
    </row>
    <row r="810" spans="1:12" x14ac:dyDescent="0.25">
      <c r="A810" s="11"/>
      <c r="B810" s="11"/>
      <c r="C810" s="11"/>
      <c r="D810" s="11"/>
      <c r="E810" s="3">
        <f>IF(A810="","",COUNTIF('02_Guest_Database'!F2:F999,A810))</f>
      </c>
      <c r="F810" s="3">
        <f>IF(A810="","",MAX(0,D810-E810))</f>
      </c>
      <c r="G810" s="3">
        <f>IF(A810="","",IFERROR(E810/D810,0))</f>
      </c>
      <c r="H810" s="3">
        <f>IF(A810="","",IF(E810&gt;D810,"חריגת קיבולת",IF(E810=D810,"מלא","תקין")))</f>
      </c>
      <c r="I810" s="11"/>
      <c r="J810" s="11"/>
      <c r="K810" s="11"/>
      <c r="L810" s="11"/>
    </row>
    <row r="811" spans="1:12" x14ac:dyDescent="0.25">
      <c r="A811" s="11"/>
      <c r="B811" s="11"/>
      <c r="C811" s="11"/>
      <c r="D811" s="11"/>
      <c r="E811" s="3">
        <f>IF(A811="","",COUNTIF('02_Guest_Database'!F2:F999,A811))</f>
      </c>
      <c r="F811" s="3">
        <f>IF(A811="","",MAX(0,D811-E811))</f>
      </c>
      <c r="G811" s="3">
        <f>IF(A811="","",IFERROR(E811/D811,0))</f>
      </c>
      <c r="H811" s="3">
        <f>IF(A811="","",IF(E811&gt;D811,"חריגת קיבולת",IF(E811=D811,"מלא","תקין")))</f>
      </c>
      <c r="I811" s="11"/>
      <c r="J811" s="11"/>
      <c r="K811" s="11"/>
      <c r="L811" s="11"/>
    </row>
    <row r="812" spans="1:12" x14ac:dyDescent="0.25">
      <c r="A812" s="11"/>
      <c r="B812" s="11"/>
      <c r="C812" s="11"/>
      <c r="D812" s="11"/>
      <c r="E812" s="3">
        <f>IF(A812="","",COUNTIF('02_Guest_Database'!F2:F999,A812))</f>
      </c>
      <c r="F812" s="3">
        <f>IF(A812="","",MAX(0,D812-E812))</f>
      </c>
      <c r="G812" s="3">
        <f>IF(A812="","",IFERROR(E812/D812,0))</f>
      </c>
      <c r="H812" s="3">
        <f>IF(A812="","",IF(E812&gt;D812,"חריגת קיבולת",IF(E812=D812,"מלא","תקין")))</f>
      </c>
      <c r="I812" s="11"/>
      <c r="J812" s="11"/>
      <c r="K812" s="11"/>
      <c r="L812" s="11"/>
    </row>
    <row r="813" spans="1:12" x14ac:dyDescent="0.25">
      <c r="A813" s="11"/>
      <c r="B813" s="11"/>
      <c r="C813" s="11"/>
      <c r="D813" s="11"/>
      <c r="E813" s="3">
        <f>IF(A813="","",COUNTIF('02_Guest_Database'!F2:F999,A813))</f>
      </c>
      <c r="F813" s="3">
        <f>IF(A813="","",MAX(0,D813-E813))</f>
      </c>
      <c r="G813" s="3">
        <f>IF(A813="","",IFERROR(E813/D813,0))</f>
      </c>
      <c r="H813" s="3">
        <f>IF(A813="","",IF(E813&gt;D813,"חריגת קיבולת",IF(E813=D813,"מלא","תקין")))</f>
      </c>
      <c r="I813" s="11"/>
      <c r="J813" s="11"/>
      <c r="K813" s="11"/>
      <c r="L813" s="11"/>
    </row>
    <row r="814" spans="1:12" x14ac:dyDescent="0.25">
      <c r="A814" s="11"/>
      <c r="B814" s="11"/>
      <c r="C814" s="11"/>
      <c r="D814" s="11"/>
      <c r="E814" s="3">
        <f>IF(A814="","",COUNTIF('02_Guest_Database'!F2:F999,A814))</f>
      </c>
      <c r="F814" s="3">
        <f>IF(A814="","",MAX(0,D814-E814))</f>
      </c>
      <c r="G814" s="3">
        <f>IF(A814="","",IFERROR(E814/D814,0))</f>
      </c>
      <c r="H814" s="3">
        <f>IF(A814="","",IF(E814&gt;D814,"חריגת קיבולת",IF(E814=D814,"מלא","תקין")))</f>
      </c>
      <c r="I814" s="11"/>
      <c r="J814" s="11"/>
      <c r="K814" s="11"/>
      <c r="L814" s="11"/>
    </row>
    <row r="815" spans="1:12" x14ac:dyDescent="0.25">
      <c r="A815" s="11"/>
      <c r="B815" s="11"/>
      <c r="C815" s="11"/>
      <c r="D815" s="11"/>
      <c r="E815" s="3">
        <f>IF(A815="","",COUNTIF('02_Guest_Database'!F2:F999,A815))</f>
      </c>
      <c r="F815" s="3">
        <f>IF(A815="","",MAX(0,D815-E815))</f>
      </c>
      <c r="G815" s="3">
        <f>IF(A815="","",IFERROR(E815/D815,0))</f>
      </c>
      <c r="H815" s="3">
        <f>IF(A815="","",IF(E815&gt;D815,"חריגת קיבולת",IF(E815=D815,"מלא","תקין")))</f>
      </c>
      <c r="I815" s="11"/>
      <c r="J815" s="11"/>
      <c r="K815" s="11"/>
      <c r="L815" s="11"/>
    </row>
    <row r="816" spans="1:12" x14ac:dyDescent="0.25">
      <c r="A816" s="11"/>
      <c r="B816" s="11"/>
      <c r="C816" s="11"/>
      <c r="D816" s="11"/>
      <c r="E816" s="3">
        <f>IF(A816="","",COUNTIF('02_Guest_Database'!F2:F999,A816))</f>
      </c>
      <c r="F816" s="3">
        <f>IF(A816="","",MAX(0,D816-E816))</f>
      </c>
      <c r="G816" s="3">
        <f>IF(A816="","",IFERROR(E816/D816,0))</f>
      </c>
      <c r="H816" s="3">
        <f>IF(A816="","",IF(E816&gt;D816,"חריגת קיבולת",IF(E816=D816,"מלא","תקין")))</f>
      </c>
      <c r="I816" s="11"/>
      <c r="J816" s="11"/>
      <c r="K816" s="11"/>
      <c r="L816" s="11"/>
    </row>
    <row r="817" spans="1:12" x14ac:dyDescent="0.25">
      <c r="A817" s="11"/>
      <c r="B817" s="11"/>
      <c r="C817" s="11"/>
      <c r="D817" s="11"/>
      <c r="E817" s="3">
        <f>IF(A817="","",COUNTIF('02_Guest_Database'!F2:F999,A817))</f>
      </c>
      <c r="F817" s="3">
        <f>IF(A817="","",MAX(0,D817-E817))</f>
      </c>
      <c r="G817" s="3">
        <f>IF(A817="","",IFERROR(E817/D817,0))</f>
      </c>
      <c r="H817" s="3">
        <f>IF(A817="","",IF(E817&gt;D817,"חריגת קיבולת",IF(E817=D817,"מלא","תקין")))</f>
      </c>
      <c r="I817" s="11"/>
      <c r="J817" s="11"/>
      <c r="K817" s="11"/>
      <c r="L817" s="11"/>
    </row>
    <row r="818" spans="1:12" x14ac:dyDescent="0.25">
      <c r="A818" s="11"/>
      <c r="B818" s="11"/>
      <c r="C818" s="11"/>
      <c r="D818" s="11"/>
      <c r="E818" s="3">
        <f>IF(A818="","",COUNTIF('02_Guest_Database'!F2:F999,A818))</f>
      </c>
      <c r="F818" s="3">
        <f>IF(A818="","",MAX(0,D818-E818))</f>
      </c>
      <c r="G818" s="3">
        <f>IF(A818="","",IFERROR(E818/D818,0))</f>
      </c>
      <c r="H818" s="3">
        <f>IF(A818="","",IF(E818&gt;D818,"חריגת קיבולת",IF(E818=D818,"מלא","תקין")))</f>
      </c>
      <c r="I818" s="11"/>
      <c r="J818" s="11"/>
      <c r="K818" s="11"/>
      <c r="L818" s="11"/>
    </row>
    <row r="819" spans="1:12" x14ac:dyDescent="0.25">
      <c r="A819" s="11"/>
      <c r="B819" s="11"/>
      <c r="C819" s="11"/>
      <c r="D819" s="11"/>
      <c r="E819" s="3">
        <f>IF(A819="","",COUNTIF('02_Guest_Database'!F2:F999,A819))</f>
      </c>
      <c r="F819" s="3">
        <f>IF(A819="","",MAX(0,D819-E819))</f>
      </c>
      <c r="G819" s="3">
        <f>IF(A819="","",IFERROR(E819/D819,0))</f>
      </c>
      <c r="H819" s="3">
        <f>IF(A819="","",IF(E819&gt;D819,"חריגת קיבולת",IF(E819=D819,"מלא","תקין")))</f>
      </c>
      <c r="I819" s="11"/>
      <c r="J819" s="11"/>
      <c r="K819" s="11"/>
      <c r="L819" s="11"/>
    </row>
    <row r="820" spans="1:12" x14ac:dyDescent="0.25">
      <c r="A820" s="11"/>
      <c r="B820" s="11"/>
      <c r="C820" s="11"/>
      <c r="D820" s="11"/>
      <c r="E820" s="3">
        <f>IF(A820="","",COUNTIF('02_Guest_Database'!F2:F999,A820))</f>
      </c>
      <c r="F820" s="3">
        <f>IF(A820="","",MAX(0,D820-E820))</f>
      </c>
      <c r="G820" s="3">
        <f>IF(A820="","",IFERROR(E820/D820,0))</f>
      </c>
      <c r="H820" s="3">
        <f>IF(A820="","",IF(E820&gt;D820,"חריגת קיבולת",IF(E820=D820,"מלא","תקין")))</f>
      </c>
      <c r="I820" s="11"/>
      <c r="J820" s="11"/>
      <c r="K820" s="11"/>
      <c r="L820" s="11"/>
    </row>
    <row r="821" spans="1:12" x14ac:dyDescent="0.25">
      <c r="A821" s="11"/>
      <c r="B821" s="11"/>
      <c r="C821" s="11"/>
      <c r="D821" s="11"/>
      <c r="E821" s="3">
        <f>IF(A821="","",COUNTIF('02_Guest_Database'!F2:F999,A821))</f>
      </c>
      <c r="F821" s="3">
        <f>IF(A821="","",MAX(0,D821-E821))</f>
      </c>
      <c r="G821" s="3">
        <f>IF(A821="","",IFERROR(E821/D821,0))</f>
      </c>
      <c r="H821" s="3">
        <f>IF(A821="","",IF(E821&gt;D821,"חריגת קיבולת",IF(E821=D821,"מלא","תקין")))</f>
      </c>
      <c r="I821" s="11"/>
      <c r="J821" s="11"/>
      <c r="K821" s="11"/>
      <c r="L821" s="11"/>
    </row>
    <row r="822" spans="1:12" x14ac:dyDescent="0.25">
      <c r="A822" s="11"/>
      <c r="B822" s="11"/>
      <c r="C822" s="11"/>
      <c r="D822" s="11"/>
      <c r="E822" s="3">
        <f>IF(A822="","",COUNTIF('02_Guest_Database'!F2:F999,A822))</f>
      </c>
      <c r="F822" s="3">
        <f>IF(A822="","",MAX(0,D822-E822))</f>
      </c>
      <c r="G822" s="3">
        <f>IF(A822="","",IFERROR(E822/D822,0))</f>
      </c>
      <c r="H822" s="3">
        <f>IF(A822="","",IF(E822&gt;D822,"חריגת קיבולת",IF(E822=D822,"מלא","תקין")))</f>
      </c>
      <c r="I822" s="11"/>
      <c r="J822" s="11"/>
      <c r="K822" s="11"/>
      <c r="L822" s="11"/>
    </row>
    <row r="823" spans="1:12" x14ac:dyDescent="0.25">
      <c r="A823" s="11"/>
      <c r="B823" s="11"/>
      <c r="C823" s="11"/>
      <c r="D823" s="11"/>
      <c r="E823" s="3">
        <f>IF(A823="","",COUNTIF('02_Guest_Database'!F2:F999,A823))</f>
      </c>
      <c r="F823" s="3">
        <f>IF(A823="","",MAX(0,D823-E823))</f>
      </c>
      <c r="G823" s="3">
        <f>IF(A823="","",IFERROR(E823/D823,0))</f>
      </c>
      <c r="H823" s="3">
        <f>IF(A823="","",IF(E823&gt;D823,"חריגת קיבולת",IF(E823=D823,"מלא","תקין")))</f>
      </c>
      <c r="I823" s="11"/>
      <c r="J823" s="11"/>
      <c r="K823" s="11"/>
      <c r="L823" s="11"/>
    </row>
    <row r="824" spans="1:12" x14ac:dyDescent="0.25">
      <c r="A824" s="11"/>
      <c r="B824" s="11"/>
      <c r="C824" s="11"/>
      <c r="D824" s="11"/>
      <c r="E824" s="3">
        <f>IF(A824="","",COUNTIF('02_Guest_Database'!F2:F999,A824))</f>
      </c>
      <c r="F824" s="3">
        <f>IF(A824="","",MAX(0,D824-E824))</f>
      </c>
      <c r="G824" s="3">
        <f>IF(A824="","",IFERROR(E824/D824,0))</f>
      </c>
      <c r="H824" s="3">
        <f>IF(A824="","",IF(E824&gt;D824,"חריגת קיבולת",IF(E824=D824,"מלא","תקין")))</f>
      </c>
      <c r="I824" s="11"/>
      <c r="J824" s="11"/>
      <c r="K824" s="11"/>
      <c r="L824" s="11"/>
    </row>
    <row r="825" spans="1:12" x14ac:dyDescent="0.25">
      <c r="A825" s="11"/>
      <c r="B825" s="11"/>
      <c r="C825" s="11"/>
      <c r="D825" s="11"/>
      <c r="E825" s="3">
        <f>IF(A825="","",COUNTIF('02_Guest_Database'!F2:F999,A825))</f>
      </c>
      <c r="F825" s="3">
        <f>IF(A825="","",MAX(0,D825-E825))</f>
      </c>
      <c r="G825" s="3">
        <f>IF(A825="","",IFERROR(E825/D825,0))</f>
      </c>
      <c r="H825" s="3">
        <f>IF(A825="","",IF(E825&gt;D825,"חריגת קיבולת",IF(E825=D825,"מלא","תקין")))</f>
      </c>
      <c r="I825" s="11"/>
      <c r="J825" s="11"/>
      <c r="K825" s="11"/>
      <c r="L825" s="11"/>
    </row>
    <row r="826" spans="1:12" x14ac:dyDescent="0.25">
      <c r="A826" s="11"/>
      <c r="B826" s="11"/>
      <c r="C826" s="11"/>
      <c r="D826" s="11"/>
      <c r="E826" s="3">
        <f>IF(A826="","",COUNTIF('02_Guest_Database'!F2:F999,A826))</f>
      </c>
      <c r="F826" s="3">
        <f>IF(A826="","",MAX(0,D826-E826))</f>
      </c>
      <c r="G826" s="3">
        <f>IF(A826="","",IFERROR(E826/D826,0))</f>
      </c>
      <c r="H826" s="3">
        <f>IF(A826="","",IF(E826&gt;D826,"חריגת קיבולת",IF(E826=D826,"מלא","תקין")))</f>
      </c>
      <c r="I826" s="11"/>
      <c r="J826" s="11"/>
      <c r="K826" s="11"/>
      <c r="L826" s="11"/>
    </row>
    <row r="827" spans="1:12" x14ac:dyDescent="0.25">
      <c r="A827" s="11"/>
      <c r="B827" s="11"/>
      <c r="C827" s="11"/>
      <c r="D827" s="11"/>
      <c r="E827" s="3">
        <f>IF(A827="","",COUNTIF('02_Guest_Database'!F2:F999,A827))</f>
      </c>
      <c r="F827" s="3">
        <f>IF(A827="","",MAX(0,D827-E827))</f>
      </c>
      <c r="G827" s="3">
        <f>IF(A827="","",IFERROR(E827/D827,0))</f>
      </c>
      <c r="H827" s="3">
        <f>IF(A827="","",IF(E827&gt;D827,"חריגת קיבולת",IF(E827=D827,"מלא","תקין")))</f>
      </c>
      <c r="I827" s="11"/>
      <c r="J827" s="11"/>
      <c r="K827" s="11"/>
      <c r="L827" s="11"/>
    </row>
    <row r="828" spans="1:12" x14ac:dyDescent="0.25">
      <c r="A828" s="11"/>
      <c r="B828" s="11"/>
      <c r="C828" s="11"/>
      <c r="D828" s="11"/>
      <c r="E828" s="3">
        <f>IF(A828="","",COUNTIF('02_Guest_Database'!F2:F999,A828))</f>
      </c>
      <c r="F828" s="3">
        <f>IF(A828="","",MAX(0,D828-E828))</f>
      </c>
      <c r="G828" s="3">
        <f>IF(A828="","",IFERROR(E828/D828,0))</f>
      </c>
      <c r="H828" s="3">
        <f>IF(A828="","",IF(E828&gt;D828,"חריגת קיבולת",IF(E828=D828,"מלא","תקין")))</f>
      </c>
      <c r="I828" s="11"/>
      <c r="J828" s="11"/>
      <c r="K828" s="11"/>
      <c r="L828" s="11"/>
    </row>
    <row r="829" spans="1:12" x14ac:dyDescent="0.25">
      <c r="A829" s="11"/>
      <c r="B829" s="11"/>
      <c r="C829" s="11"/>
      <c r="D829" s="11"/>
      <c r="E829" s="3">
        <f>IF(A829="","",COUNTIF('02_Guest_Database'!F2:F999,A829))</f>
      </c>
      <c r="F829" s="3">
        <f>IF(A829="","",MAX(0,D829-E829))</f>
      </c>
      <c r="G829" s="3">
        <f>IF(A829="","",IFERROR(E829/D829,0))</f>
      </c>
      <c r="H829" s="3">
        <f>IF(A829="","",IF(E829&gt;D829,"חריגת קיבולת",IF(E829=D829,"מלא","תקין")))</f>
      </c>
      <c r="I829" s="11"/>
      <c r="J829" s="11"/>
      <c r="K829" s="11"/>
      <c r="L829" s="11"/>
    </row>
    <row r="830" spans="1:12" x14ac:dyDescent="0.25">
      <c r="A830" s="11"/>
      <c r="B830" s="11"/>
      <c r="C830" s="11"/>
      <c r="D830" s="11"/>
      <c r="E830" s="3">
        <f>IF(A830="","",COUNTIF('02_Guest_Database'!F2:F999,A830))</f>
      </c>
      <c r="F830" s="3">
        <f>IF(A830="","",MAX(0,D830-E830))</f>
      </c>
      <c r="G830" s="3">
        <f>IF(A830="","",IFERROR(E830/D830,0))</f>
      </c>
      <c r="H830" s="3">
        <f>IF(A830="","",IF(E830&gt;D830,"חריגת קיבולת",IF(E830=D830,"מלא","תקין")))</f>
      </c>
      <c r="I830" s="11"/>
      <c r="J830" s="11"/>
      <c r="K830" s="11"/>
      <c r="L830" s="11"/>
    </row>
    <row r="831" spans="1:12" x14ac:dyDescent="0.25">
      <c r="A831" s="11"/>
      <c r="B831" s="11"/>
      <c r="C831" s="11"/>
      <c r="D831" s="11"/>
      <c r="E831" s="3">
        <f>IF(A831="","",COUNTIF('02_Guest_Database'!F2:F999,A831))</f>
      </c>
      <c r="F831" s="3">
        <f>IF(A831="","",MAX(0,D831-E831))</f>
      </c>
      <c r="G831" s="3">
        <f>IF(A831="","",IFERROR(E831/D831,0))</f>
      </c>
      <c r="H831" s="3">
        <f>IF(A831="","",IF(E831&gt;D831,"חריגת קיבולת",IF(E831=D831,"מלא","תקין")))</f>
      </c>
      <c r="I831" s="11"/>
      <c r="J831" s="11"/>
      <c r="K831" s="11"/>
      <c r="L831" s="11"/>
    </row>
    <row r="832" spans="1:12" x14ac:dyDescent="0.25">
      <c r="A832" s="11"/>
      <c r="B832" s="11"/>
      <c r="C832" s="11"/>
      <c r="D832" s="11"/>
      <c r="E832" s="3">
        <f>IF(A832="","",COUNTIF('02_Guest_Database'!F2:F999,A832))</f>
      </c>
      <c r="F832" s="3">
        <f>IF(A832="","",MAX(0,D832-E832))</f>
      </c>
      <c r="G832" s="3">
        <f>IF(A832="","",IFERROR(E832/D832,0))</f>
      </c>
      <c r="H832" s="3">
        <f>IF(A832="","",IF(E832&gt;D832,"חריגת קיבולת",IF(E832=D832,"מלא","תקין")))</f>
      </c>
      <c r="I832" s="11"/>
      <c r="J832" s="11"/>
      <c r="K832" s="11"/>
      <c r="L832" s="11"/>
    </row>
    <row r="833" spans="1:12" x14ac:dyDescent="0.25">
      <c r="A833" s="11"/>
      <c r="B833" s="11"/>
      <c r="C833" s="11"/>
      <c r="D833" s="11"/>
      <c r="E833" s="3">
        <f>IF(A833="","",COUNTIF('02_Guest_Database'!F2:F999,A833))</f>
      </c>
      <c r="F833" s="3">
        <f>IF(A833="","",MAX(0,D833-E833))</f>
      </c>
      <c r="G833" s="3">
        <f>IF(A833="","",IFERROR(E833/D833,0))</f>
      </c>
      <c r="H833" s="3">
        <f>IF(A833="","",IF(E833&gt;D833,"חריגת קיבולת",IF(E833=D833,"מלא","תקין")))</f>
      </c>
      <c r="I833" s="11"/>
      <c r="J833" s="11"/>
      <c r="K833" s="11"/>
      <c r="L833" s="11"/>
    </row>
    <row r="834" spans="1:12" x14ac:dyDescent="0.25">
      <c r="A834" s="11"/>
      <c r="B834" s="11"/>
      <c r="C834" s="11"/>
      <c r="D834" s="11"/>
      <c r="E834" s="3">
        <f>IF(A834="","",COUNTIF('02_Guest_Database'!F2:F999,A834))</f>
      </c>
      <c r="F834" s="3">
        <f>IF(A834="","",MAX(0,D834-E834))</f>
      </c>
      <c r="G834" s="3">
        <f>IF(A834="","",IFERROR(E834/D834,0))</f>
      </c>
      <c r="H834" s="3">
        <f>IF(A834="","",IF(E834&gt;D834,"חריגת קיבולת",IF(E834=D834,"מלא","תקין")))</f>
      </c>
      <c r="I834" s="11"/>
      <c r="J834" s="11"/>
      <c r="K834" s="11"/>
      <c r="L834" s="11"/>
    </row>
    <row r="835" spans="1:12" x14ac:dyDescent="0.25">
      <c r="A835" s="11"/>
      <c r="B835" s="11"/>
      <c r="C835" s="11"/>
      <c r="D835" s="11"/>
      <c r="E835" s="3">
        <f>IF(A835="","",COUNTIF('02_Guest_Database'!F2:F999,A835))</f>
      </c>
      <c r="F835" s="3">
        <f>IF(A835="","",MAX(0,D835-E835))</f>
      </c>
      <c r="G835" s="3">
        <f>IF(A835="","",IFERROR(E835/D835,0))</f>
      </c>
      <c r="H835" s="3">
        <f>IF(A835="","",IF(E835&gt;D835,"חריגת קיבולת",IF(E835=D835,"מלא","תקין")))</f>
      </c>
      <c r="I835" s="11"/>
      <c r="J835" s="11"/>
      <c r="K835" s="11"/>
      <c r="L835" s="11"/>
    </row>
    <row r="836" spans="1:12" x14ac:dyDescent="0.25">
      <c r="A836" s="11"/>
      <c r="B836" s="11"/>
      <c r="C836" s="11"/>
      <c r="D836" s="11"/>
      <c r="E836" s="3">
        <f>IF(A836="","",COUNTIF('02_Guest_Database'!F2:F999,A836))</f>
      </c>
      <c r="F836" s="3">
        <f>IF(A836="","",MAX(0,D836-E836))</f>
      </c>
      <c r="G836" s="3">
        <f>IF(A836="","",IFERROR(E836/D836,0))</f>
      </c>
      <c r="H836" s="3">
        <f>IF(A836="","",IF(E836&gt;D836,"חריגת קיבולת",IF(E836=D836,"מלא","תקין")))</f>
      </c>
      <c r="I836" s="11"/>
      <c r="J836" s="11"/>
      <c r="K836" s="11"/>
      <c r="L836" s="11"/>
    </row>
    <row r="837" spans="1:12" x14ac:dyDescent="0.25">
      <c r="A837" s="11"/>
      <c r="B837" s="11"/>
      <c r="C837" s="11"/>
      <c r="D837" s="11"/>
      <c r="E837" s="3">
        <f>IF(A837="","",COUNTIF('02_Guest_Database'!F2:F999,A837))</f>
      </c>
      <c r="F837" s="3">
        <f>IF(A837="","",MAX(0,D837-E837))</f>
      </c>
      <c r="G837" s="3">
        <f>IF(A837="","",IFERROR(E837/D837,0))</f>
      </c>
      <c r="H837" s="3">
        <f>IF(A837="","",IF(E837&gt;D837,"חריגת קיבולת",IF(E837=D837,"מלא","תקין")))</f>
      </c>
      <c r="I837" s="11"/>
      <c r="J837" s="11"/>
      <c r="K837" s="11"/>
      <c r="L837" s="11"/>
    </row>
    <row r="838" spans="1:12" x14ac:dyDescent="0.25">
      <c r="A838" s="11"/>
      <c r="B838" s="11"/>
      <c r="C838" s="11"/>
      <c r="D838" s="11"/>
      <c r="E838" s="3">
        <f>IF(A838="","",COUNTIF('02_Guest_Database'!F2:F999,A838))</f>
      </c>
      <c r="F838" s="3">
        <f>IF(A838="","",MAX(0,D838-E838))</f>
      </c>
      <c r="G838" s="3">
        <f>IF(A838="","",IFERROR(E838/D838,0))</f>
      </c>
      <c r="H838" s="3">
        <f>IF(A838="","",IF(E838&gt;D838,"חריגת קיבולת",IF(E838=D838,"מלא","תקין")))</f>
      </c>
      <c r="I838" s="11"/>
      <c r="J838" s="11"/>
      <c r="K838" s="11"/>
      <c r="L838" s="11"/>
    </row>
    <row r="839" spans="1:12" x14ac:dyDescent="0.25">
      <c r="A839" s="11"/>
      <c r="B839" s="11"/>
      <c r="C839" s="11"/>
      <c r="D839" s="11"/>
      <c r="E839" s="3">
        <f>IF(A839="","",COUNTIF('02_Guest_Database'!F2:F999,A839))</f>
      </c>
      <c r="F839" s="3">
        <f>IF(A839="","",MAX(0,D839-E839))</f>
      </c>
      <c r="G839" s="3">
        <f>IF(A839="","",IFERROR(E839/D839,0))</f>
      </c>
      <c r="H839" s="3">
        <f>IF(A839="","",IF(E839&gt;D839,"חריגת קיבולת",IF(E839=D839,"מלא","תקין")))</f>
      </c>
      <c r="I839" s="11"/>
      <c r="J839" s="11"/>
      <c r="K839" s="11"/>
      <c r="L839" s="11"/>
    </row>
    <row r="840" spans="1:12" x14ac:dyDescent="0.25">
      <c r="A840" s="11"/>
      <c r="B840" s="11"/>
      <c r="C840" s="11"/>
      <c r="D840" s="11"/>
      <c r="E840" s="3">
        <f>IF(A840="","",COUNTIF('02_Guest_Database'!F2:F999,A840))</f>
      </c>
      <c r="F840" s="3">
        <f>IF(A840="","",MAX(0,D840-E840))</f>
      </c>
      <c r="G840" s="3">
        <f>IF(A840="","",IFERROR(E840/D840,0))</f>
      </c>
      <c r="H840" s="3">
        <f>IF(A840="","",IF(E840&gt;D840,"חריגת קיבולת",IF(E840=D840,"מלא","תקין")))</f>
      </c>
      <c r="I840" s="11"/>
      <c r="J840" s="11"/>
      <c r="K840" s="11"/>
      <c r="L840" s="11"/>
    </row>
    <row r="841" spans="1:12" x14ac:dyDescent="0.25">
      <c r="A841" s="11"/>
      <c r="B841" s="11"/>
      <c r="C841" s="11"/>
      <c r="D841" s="11"/>
      <c r="E841" s="3">
        <f>IF(A841="","",COUNTIF('02_Guest_Database'!F2:F999,A841))</f>
      </c>
      <c r="F841" s="3">
        <f>IF(A841="","",MAX(0,D841-E841))</f>
      </c>
      <c r="G841" s="3">
        <f>IF(A841="","",IFERROR(E841/D841,0))</f>
      </c>
      <c r="H841" s="3">
        <f>IF(A841="","",IF(E841&gt;D841,"חריגת קיבולת",IF(E841=D841,"מלא","תקין")))</f>
      </c>
      <c r="I841" s="11"/>
      <c r="J841" s="11"/>
      <c r="K841" s="11"/>
      <c r="L841" s="11"/>
    </row>
    <row r="842" spans="1:12" x14ac:dyDescent="0.25">
      <c r="A842" s="11"/>
      <c r="B842" s="11"/>
      <c r="C842" s="11"/>
      <c r="D842" s="11"/>
      <c r="E842" s="3">
        <f>IF(A842="","",COUNTIF('02_Guest_Database'!F2:F999,A842))</f>
      </c>
      <c r="F842" s="3">
        <f>IF(A842="","",MAX(0,D842-E842))</f>
      </c>
      <c r="G842" s="3">
        <f>IF(A842="","",IFERROR(E842/D842,0))</f>
      </c>
      <c r="H842" s="3">
        <f>IF(A842="","",IF(E842&gt;D842,"חריגת קיבולת",IF(E842=D842,"מלא","תקין")))</f>
      </c>
      <c r="I842" s="11"/>
      <c r="J842" s="11"/>
      <c r="K842" s="11"/>
      <c r="L842" s="11"/>
    </row>
    <row r="843" spans="1:12" x14ac:dyDescent="0.25">
      <c r="A843" s="11"/>
      <c r="B843" s="11"/>
      <c r="C843" s="11"/>
      <c r="D843" s="11"/>
      <c r="E843" s="3">
        <f>IF(A843="","",COUNTIF('02_Guest_Database'!F2:F999,A843))</f>
      </c>
      <c r="F843" s="3">
        <f>IF(A843="","",MAX(0,D843-E843))</f>
      </c>
      <c r="G843" s="3">
        <f>IF(A843="","",IFERROR(E843/D843,0))</f>
      </c>
      <c r="H843" s="3">
        <f>IF(A843="","",IF(E843&gt;D843,"חריגת קיבולת",IF(E843=D843,"מלא","תקין")))</f>
      </c>
      <c r="I843" s="11"/>
      <c r="J843" s="11"/>
      <c r="K843" s="11"/>
      <c r="L843" s="11"/>
    </row>
    <row r="844" spans="1:12" x14ac:dyDescent="0.25">
      <c r="A844" s="11"/>
      <c r="B844" s="11"/>
      <c r="C844" s="11"/>
      <c r="D844" s="11"/>
      <c r="E844" s="3">
        <f>IF(A844="","",COUNTIF('02_Guest_Database'!F2:F999,A844))</f>
      </c>
      <c r="F844" s="3">
        <f>IF(A844="","",MAX(0,D844-E844))</f>
      </c>
      <c r="G844" s="3">
        <f>IF(A844="","",IFERROR(E844/D844,0))</f>
      </c>
      <c r="H844" s="3">
        <f>IF(A844="","",IF(E844&gt;D844,"חריגת קיבולת",IF(E844=D844,"מלא","תקין")))</f>
      </c>
      <c r="I844" s="11"/>
      <c r="J844" s="11"/>
      <c r="K844" s="11"/>
      <c r="L844" s="11"/>
    </row>
    <row r="845" spans="1:12" x14ac:dyDescent="0.25">
      <c r="A845" s="11"/>
      <c r="B845" s="11"/>
      <c r="C845" s="11"/>
      <c r="D845" s="11"/>
      <c r="E845" s="3">
        <f>IF(A845="","",COUNTIF('02_Guest_Database'!F2:F999,A845))</f>
      </c>
      <c r="F845" s="3">
        <f>IF(A845="","",MAX(0,D845-E845))</f>
      </c>
      <c r="G845" s="3">
        <f>IF(A845="","",IFERROR(E845/D845,0))</f>
      </c>
      <c r="H845" s="3">
        <f>IF(A845="","",IF(E845&gt;D845,"חריגת קיבולת",IF(E845=D845,"מלא","תקין")))</f>
      </c>
      <c r="I845" s="11"/>
      <c r="J845" s="11"/>
      <c r="K845" s="11"/>
      <c r="L845" s="11"/>
    </row>
    <row r="846" spans="1:12" x14ac:dyDescent="0.25">
      <c r="A846" s="11"/>
      <c r="B846" s="11"/>
      <c r="C846" s="11"/>
      <c r="D846" s="11"/>
      <c r="E846" s="3">
        <f>IF(A846="","",COUNTIF('02_Guest_Database'!F2:F999,A846))</f>
      </c>
      <c r="F846" s="3">
        <f>IF(A846="","",MAX(0,D846-E846))</f>
      </c>
      <c r="G846" s="3">
        <f>IF(A846="","",IFERROR(E846/D846,0))</f>
      </c>
      <c r="H846" s="3">
        <f>IF(A846="","",IF(E846&gt;D846,"חריגת קיבולת",IF(E846=D846,"מלא","תקין")))</f>
      </c>
      <c r="I846" s="11"/>
      <c r="J846" s="11"/>
      <c r="K846" s="11"/>
      <c r="L846" s="11"/>
    </row>
    <row r="847" spans="1:12" x14ac:dyDescent="0.25">
      <c r="A847" s="11"/>
      <c r="B847" s="11"/>
      <c r="C847" s="11"/>
      <c r="D847" s="11"/>
      <c r="E847" s="3">
        <f>IF(A847="","",COUNTIF('02_Guest_Database'!F2:F999,A847))</f>
      </c>
      <c r="F847" s="3">
        <f>IF(A847="","",MAX(0,D847-E847))</f>
      </c>
      <c r="G847" s="3">
        <f>IF(A847="","",IFERROR(E847/D847,0))</f>
      </c>
      <c r="H847" s="3">
        <f>IF(A847="","",IF(E847&gt;D847,"חריגת קיבולת",IF(E847=D847,"מלא","תקין")))</f>
      </c>
      <c r="I847" s="11"/>
      <c r="J847" s="11"/>
      <c r="K847" s="11"/>
      <c r="L847" s="11"/>
    </row>
    <row r="848" spans="1:12" x14ac:dyDescent="0.25">
      <c r="A848" s="11"/>
      <c r="B848" s="11"/>
      <c r="C848" s="11"/>
      <c r="D848" s="11"/>
      <c r="E848" s="3">
        <f>IF(A848="","",COUNTIF('02_Guest_Database'!F2:F999,A848))</f>
      </c>
      <c r="F848" s="3">
        <f>IF(A848="","",MAX(0,D848-E848))</f>
      </c>
      <c r="G848" s="3">
        <f>IF(A848="","",IFERROR(E848/D848,0))</f>
      </c>
      <c r="H848" s="3">
        <f>IF(A848="","",IF(E848&gt;D848,"חריגת קיבולת",IF(E848=D848,"מלא","תקין")))</f>
      </c>
      <c r="I848" s="11"/>
      <c r="J848" s="11"/>
      <c r="K848" s="11"/>
      <c r="L848" s="11"/>
    </row>
    <row r="849" spans="1:12" x14ac:dyDescent="0.25">
      <c r="A849" s="11"/>
      <c r="B849" s="11"/>
      <c r="C849" s="11"/>
      <c r="D849" s="11"/>
      <c r="E849" s="3">
        <f>IF(A849="","",COUNTIF('02_Guest_Database'!F2:F999,A849))</f>
      </c>
      <c r="F849" s="3">
        <f>IF(A849="","",MAX(0,D849-E849))</f>
      </c>
      <c r="G849" s="3">
        <f>IF(A849="","",IFERROR(E849/D849,0))</f>
      </c>
      <c r="H849" s="3">
        <f>IF(A849="","",IF(E849&gt;D849,"חריגת קיבולת",IF(E849=D849,"מלא","תקין")))</f>
      </c>
      <c r="I849" s="11"/>
      <c r="J849" s="11"/>
      <c r="K849" s="11"/>
      <c r="L849" s="11"/>
    </row>
    <row r="850" spans="1:12" x14ac:dyDescent="0.25">
      <c r="A850" s="11"/>
      <c r="B850" s="11"/>
      <c r="C850" s="11"/>
      <c r="D850" s="11"/>
      <c r="E850" s="3">
        <f>IF(A850="","",COUNTIF('02_Guest_Database'!F2:F999,A850))</f>
      </c>
      <c r="F850" s="3">
        <f>IF(A850="","",MAX(0,D850-E850))</f>
      </c>
      <c r="G850" s="3">
        <f>IF(A850="","",IFERROR(E850/D850,0))</f>
      </c>
      <c r="H850" s="3">
        <f>IF(A850="","",IF(E850&gt;D850,"חריגת קיבולת",IF(E850=D850,"מלא","תקין")))</f>
      </c>
      <c r="I850" s="11"/>
      <c r="J850" s="11"/>
      <c r="K850" s="11"/>
      <c r="L850" s="11"/>
    </row>
    <row r="851" spans="1:12" x14ac:dyDescent="0.25">
      <c r="A851" s="11"/>
      <c r="B851" s="11"/>
      <c r="C851" s="11"/>
      <c r="D851" s="11"/>
      <c r="E851" s="3">
        <f>IF(A851="","",COUNTIF('02_Guest_Database'!F2:F999,A851))</f>
      </c>
      <c r="F851" s="3">
        <f>IF(A851="","",MAX(0,D851-E851))</f>
      </c>
      <c r="G851" s="3">
        <f>IF(A851="","",IFERROR(E851/D851,0))</f>
      </c>
      <c r="H851" s="3">
        <f>IF(A851="","",IF(E851&gt;D851,"חריגת קיבולת",IF(E851=D851,"מלא","תקין")))</f>
      </c>
      <c r="I851" s="11"/>
      <c r="J851" s="11"/>
      <c r="K851" s="11"/>
      <c r="L851" s="11"/>
    </row>
    <row r="852" spans="1:12" x14ac:dyDescent="0.25">
      <c r="A852" s="11"/>
      <c r="B852" s="11"/>
      <c r="C852" s="11"/>
      <c r="D852" s="11"/>
      <c r="E852" s="3">
        <f>IF(A852="","",COUNTIF('02_Guest_Database'!F2:F999,A852))</f>
      </c>
      <c r="F852" s="3">
        <f>IF(A852="","",MAX(0,D852-E852))</f>
      </c>
      <c r="G852" s="3">
        <f>IF(A852="","",IFERROR(E852/D852,0))</f>
      </c>
      <c r="H852" s="3">
        <f>IF(A852="","",IF(E852&gt;D852,"חריגת קיבולת",IF(E852=D852,"מלא","תקין")))</f>
      </c>
      <c r="I852" s="11"/>
      <c r="J852" s="11"/>
      <c r="K852" s="11"/>
      <c r="L852" s="11"/>
    </row>
    <row r="853" spans="1:12" x14ac:dyDescent="0.25">
      <c r="A853" s="11"/>
      <c r="B853" s="11"/>
      <c r="C853" s="11"/>
      <c r="D853" s="11"/>
      <c r="E853" s="3">
        <f>IF(A853="","",COUNTIF('02_Guest_Database'!F2:F999,A853))</f>
      </c>
      <c r="F853" s="3">
        <f>IF(A853="","",MAX(0,D853-E853))</f>
      </c>
      <c r="G853" s="3">
        <f>IF(A853="","",IFERROR(E853/D853,0))</f>
      </c>
      <c r="H853" s="3">
        <f>IF(A853="","",IF(E853&gt;D853,"חריגת קיבולת",IF(E853=D853,"מלא","תקין")))</f>
      </c>
      <c r="I853" s="11"/>
      <c r="J853" s="11"/>
      <c r="K853" s="11"/>
      <c r="L853" s="11"/>
    </row>
    <row r="854" spans="1:12" x14ac:dyDescent="0.25">
      <c r="A854" s="11"/>
      <c r="B854" s="11"/>
      <c r="C854" s="11"/>
      <c r="D854" s="11"/>
      <c r="E854" s="3">
        <f>IF(A854="","",COUNTIF('02_Guest_Database'!F2:F999,A854))</f>
      </c>
      <c r="F854" s="3">
        <f>IF(A854="","",MAX(0,D854-E854))</f>
      </c>
      <c r="G854" s="3">
        <f>IF(A854="","",IFERROR(E854/D854,0))</f>
      </c>
      <c r="H854" s="3">
        <f>IF(A854="","",IF(E854&gt;D854,"חריגת קיבולת",IF(E854=D854,"מלא","תקין")))</f>
      </c>
      <c r="I854" s="11"/>
      <c r="J854" s="11"/>
      <c r="K854" s="11"/>
      <c r="L854" s="11"/>
    </row>
    <row r="855" spans="1:12" x14ac:dyDescent="0.25">
      <c r="A855" s="11"/>
      <c r="B855" s="11"/>
      <c r="C855" s="11"/>
      <c r="D855" s="11"/>
      <c r="E855" s="3">
        <f>IF(A855="","",COUNTIF('02_Guest_Database'!F2:F999,A855))</f>
      </c>
      <c r="F855" s="3">
        <f>IF(A855="","",MAX(0,D855-E855))</f>
      </c>
      <c r="G855" s="3">
        <f>IF(A855="","",IFERROR(E855/D855,0))</f>
      </c>
      <c r="H855" s="3">
        <f>IF(A855="","",IF(E855&gt;D855,"חריגת קיבולת",IF(E855=D855,"מלא","תקין")))</f>
      </c>
      <c r="I855" s="11"/>
      <c r="J855" s="11"/>
      <c r="K855" s="11"/>
      <c r="L855" s="11"/>
    </row>
    <row r="856" spans="1:12" x14ac:dyDescent="0.25">
      <c r="A856" s="11"/>
      <c r="B856" s="11"/>
      <c r="C856" s="11"/>
      <c r="D856" s="11"/>
      <c r="E856" s="3">
        <f>IF(A856="","",COUNTIF('02_Guest_Database'!F2:F999,A856))</f>
      </c>
      <c r="F856" s="3">
        <f>IF(A856="","",MAX(0,D856-E856))</f>
      </c>
      <c r="G856" s="3">
        <f>IF(A856="","",IFERROR(E856/D856,0))</f>
      </c>
      <c r="H856" s="3">
        <f>IF(A856="","",IF(E856&gt;D856,"חריגת קיבולת",IF(E856=D856,"מלא","תקין")))</f>
      </c>
      <c r="I856" s="11"/>
      <c r="J856" s="11"/>
      <c r="K856" s="11"/>
      <c r="L856" s="11"/>
    </row>
    <row r="857" spans="1:12" x14ac:dyDescent="0.25">
      <c r="A857" s="11"/>
      <c r="B857" s="11"/>
      <c r="C857" s="11"/>
      <c r="D857" s="11"/>
      <c r="E857" s="3">
        <f>IF(A857="","",COUNTIF('02_Guest_Database'!F2:F999,A857))</f>
      </c>
      <c r="F857" s="3">
        <f>IF(A857="","",MAX(0,D857-E857))</f>
      </c>
      <c r="G857" s="3">
        <f>IF(A857="","",IFERROR(E857/D857,0))</f>
      </c>
      <c r="H857" s="3">
        <f>IF(A857="","",IF(E857&gt;D857,"חריגת קיבולת",IF(E857=D857,"מלא","תקין")))</f>
      </c>
      <c r="I857" s="11"/>
      <c r="J857" s="11"/>
      <c r="K857" s="11"/>
      <c r="L857" s="11"/>
    </row>
    <row r="858" spans="1:12" x14ac:dyDescent="0.25">
      <c r="A858" s="11"/>
      <c r="B858" s="11"/>
      <c r="C858" s="11"/>
      <c r="D858" s="11"/>
      <c r="E858" s="3">
        <f>IF(A858="","",COUNTIF('02_Guest_Database'!F2:F999,A858))</f>
      </c>
      <c r="F858" s="3">
        <f>IF(A858="","",MAX(0,D858-E858))</f>
      </c>
      <c r="G858" s="3">
        <f>IF(A858="","",IFERROR(E858/D858,0))</f>
      </c>
      <c r="H858" s="3">
        <f>IF(A858="","",IF(E858&gt;D858,"חריגת קיבולת",IF(E858=D858,"מלא","תקין")))</f>
      </c>
      <c r="I858" s="11"/>
      <c r="J858" s="11"/>
      <c r="K858" s="11"/>
      <c r="L858" s="11"/>
    </row>
    <row r="859" spans="1:12" x14ac:dyDescent="0.25">
      <c r="A859" s="11"/>
      <c r="B859" s="11"/>
      <c r="C859" s="11"/>
      <c r="D859" s="11"/>
      <c r="E859" s="3">
        <f>IF(A859="","",COUNTIF('02_Guest_Database'!F2:F999,A859))</f>
      </c>
      <c r="F859" s="3">
        <f>IF(A859="","",MAX(0,D859-E859))</f>
      </c>
      <c r="G859" s="3">
        <f>IF(A859="","",IFERROR(E859/D859,0))</f>
      </c>
      <c r="H859" s="3">
        <f>IF(A859="","",IF(E859&gt;D859,"חריגת קיבולת",IF(E859=D859,"מלא","תקין")))</f>
      </c>
      <c r="I859" s="11"/>
      <c r="J859" s="11"/>
      <c r="K859" s="11"/>
      <c r="L859" s="11"/>
    </row>
    <row r="860" spans="1:12" x14ac:dyDescent="0.25">
      <c r="A860" s="11"/>
      <c r="B860" s="11"/>
      <c r="C860" s="11"/>
      <c r="D860" s="11"/>
      <c r="E860" s="3">
        <f>IF(A860="","",COUNTIF('02_Guest_Database'!F2:F999,A860))</f>
      </c>
      <c r="F860" s="3">
        <f>IF(A860="","",MAX(0,D860-E860))</f>
      </c>
      <c r="G860" s="3">
        <f>IF(A860="","",IFERROR(E860/D860,0))</f>
      </c>
      <c r="H860" s="3">
        <f>IF(A860="","",IF(E860&gt;D860,"חריגת קיבולת",IF(E860=D860,"מלא","תקין")))</f>
      </c>
      <c r="I860" s="11"/>
      <c r="J860" s="11"/>
      <c r="K860" s="11"/>
      <c r="L860" s="11"/>
    </row>
    <row r="861" spans="1:12" x14ac:dyDescent="0.25">
      <c r="A861" s="11"/>
      <c r="B861" s="11"/>
      <c r="C861" s="11"/>
      <c r="D861" s="11"/>
      <c r="E861" s="3">
        <f>IF(A861="","",COUNTIF('02_Guest_Database'!F2:F999,A861))</f>
      </c>
      <c r="F861" s="3">
        <f>IF(A861="","",MAX(0,D861-E861))</f>
      </c>
      <c r="G861" s="3">
        <f>IF(A861="","",IFERROR(E861/D861,0))</f>
      </c>
      <c r="H861" s="3">
        <f>IF(A861="","",IF(E861&gt;D861,"חריגת קיבולת",IF(E861=D861,"מלא","תקין")))</f>
      </c>
      <c r="I861" s="11"/>
      <c r="J861" s="11"/>
      <c r="K861" s="11"/>
      <c r="L861" s="11"/>
    </row>
    <row r="862" spans="1:12" x14ac:dyDescent="0.25">
      <c r="A862" s="11"/>
      <c r="B862" s="11"/>
      <c r="C862" s="11"/>
      <c r="D862" s="11"/>
      <c r="E862" s="3">
        <f>IF(A862="","",COUNTIF('02_Guest_Database'!F2:F999,A862))</f>
      </c>
      <c r="F862" s="3">
        <f>IF(A862="","",MAX(0,D862-E862))</f>
      </c>
      <c r="G862" s="3">
        <f>IF(A862="","",IFERROR(E862/D862,0))</f>
      </c>
      <c r="H862" s="3">
        <f>IF(A862="","",IF(E862&gt;D862,"חריגת קיבולת",IF(E862=D862,"מלא","תקין")))</f>
      </c>
      <c r="I862" s="11"/>
      <c r="J862" s="11"/>
      <c r="K862" s="11"/>
      <c r="L862" s="11"/>
    </row>
    <row r="863" spans="1:12" x14ac:dyDescent="0.25">
      <c r="A863" s="11"/>
      <c r="B863" s="11"/>
      <c r="C863" s="11"/>
      <c r="D863" s="11"/>
      <c r="E863" s="3">
        <f>IF(A863="","",COUNTIF('02_Guest_Database'!F2:F999,A863))</f>
      </c>
      <c r="F863" s="3">
        <f>IF(A863="","",MAX(0,D863-E863))</f>
      </c>
      <c r="G863" s="3">
        <f>IF(A863="","",IFERROR(E863/D863,0))</f>
      </c>
      <c r="H863" s="3">
        <f>IF(A863="","",IF(E863&gt;D863,"חריגת קיבולת",IF(E863=D863,"מלא","תקין")))</f>
      </c>
      <c r="I863" s="11"/>
      <c r="J863" s="11"/>
      <c r="K863" s="11"/>
      <c r="L863" s="11"/>
    </row>
    <row r="864" spans="1:12" x14ac:dyDescent="0.25">
      <c r="A864" s="11"/>
      <c r="B864" s="11"/>
      <c r="C864" s="11"/>
      <c r="D864" s="11"/>
      <c r="E864" s="3">
        <f>IF(A864="","",COUNTIF('02_Guest_Database'!F2:F999,A864))</f>
      </c>
      <c r="F864" s="3">
        <f>IF(A864="","",MAX(0,D864-E864))</f>
      </c>
      <c r="G864" s="3">
        <f>IF(A864="","",IFERROR(E864/D864,0))</f>
      </c>
      <c r="H864" s="3">
        <f>IF(A864="","",IF(E864&gt;D864,"חריגת קיבולת",IF(E864=D864,"מלא","תקין")))</f>
      </c>
      <c r="I864" s="11"/>
      <c r="J864" s="11"/>
      <c r="K864" s="11"/>
      <c r="L864" s="11"/>
    </row>
    <row r="865" spans="1:12" x14ac:dyDescent="0.25">
      <c r="A865" s="11"/>
      <c r="B865" s="11"/>
      <c r="C865" s="11"/>
      <c r="D865" s="11"/>
      <c r="E865" s="3">
        <f>IF(A865="","",COUNTIF('02_Guest_Database'!F2:F999,A865))</f>
      </c>
      <c r="F865" s="3">
        <f>IF(A865="","",MAX(0,D865-E865))</f>
      </c>
      <c r="G865" s="3">
        <f>IF(A865="","",IFERROR(E865/D865,0))</f>
      </c>
      <c r="H865" s="3">
        <f>IF(A865="","",IF(E865&gt;D865,"חריגת קיבולת",IF(E865=D865,"מלא","תקין")))</f>
      </c>
      <c r="I865" s="11"/>
      <c r="J865" s="11"/>
      <c r="K865" s="11"/>
      <c r="L865" s="11"/>
    </row>
    <row r="866" spans="1:12" x14ac:dyDescent="0.25">
      <c r="A866" s="11"/>
      <c r="B866" s="11"/>
      <c r="C866" s="11"/>
      <c r="D866" s="11"/>
      <c r="E866" s="3">
        <f>IF(A866="","",COUNTIF('02_Guest_Database'!F2:F999,A866))</f>
      </c>
      <c r="F866" s="3">
        <f>IF(A866="","",MAX(0,D866-E866))</f>
      </c>
      <c r="G866" s="3">
        <f>IF(A866="","",IFERROR(E866/D866,0))</f>
      </c>
      <c r="H866" s="3">
        <f>IF(A866="","",IF(E866&gt;D866,"חריגת קיבולת",IF(E866=D866,"מלא","תקין")))</f>
      </c>
      <c r="I866" s="11"/>
      <c r="J866" s="11"/>
      <c r="K866" s="11"/>
      <c r="L866" s="11"/>
    </row>
    <row r="867" spans="1:12" x14ac:dyDescent="0.25">
      <c r="A867" s="11"/>
      <c r="B867" s="11"/>
      <c r="C867" s="11"/>
      <c r="D867" s="11"/>
      <c r="E867" s="3">
        <f>IF(A867="","",COUNTIF('02_Guest_Database'!F2:F999,A867))</f>
      </c>
      <c r="F867" s="3">
        <f>IF(A867="","",MAX(0,D867-E867))</f>
      </c>
      <c r="G867" s="3">
        <f>IF(A867="","",IFERROR(E867/D867,0))</f>
      </c>
      <c r="H867" s="3">
        <f>IF(A867="","",IF(E867&gt;D867,"חריגת קיבולת",IF(E867=D867,"מלא","תקין")))</f>
      </c>
      <c r="I867" s="11"/>
      <c r="J867" s="11"/>
      <c r="K867" s="11"/>
      <c r="L867" s="11"/>
    </row>
    <row r="868" spans="1:12" x14ac:dyDescent="0.25">
      <c r="A868" s="11"/>
      <c r="B868" s="11"/>
      <c r="C868" s="11"/>
      <c r="D868" s="11"/>
      <c r="E868" s="3">
        <f>IF(A868="","",COUNTIF('02_Guest_Database'!F2:F999,A868))</f>
      </c>
      <c r="F868" s="3">
        <f>IF(A868="","",MAX(0,D868-E868))</f>
      </c>
      <c r="G868" s="3">
        <f>IF(A868="","",IFERROR(E868/D868,0))</f>
      </c>
      <c r="H868" s="3">
        <f>IF(A868="","",IF(E868&gt;D868,"חריגת קיבולת",IF(E868=D868,"מלא","תקין")))</f>
      </c>
      <c r="I868" s="11"/>
      <c r="J868" s="11"/>
      <c r="K868" s="11"/>
      <c r="L868" s="11"/>
    </row>
    <row r="869" spans="1:12" x14ac:dyDescent="0.25">
      <c r="A869" s="11"/>
      <c r="B869" s="11"/>
      <c r="C869" s="11"/>
      <c r="D869" s="11"/>
      <c r="E869" s="3">
        <f>IF(A869="","",COUNTIF('02_Guest_Database'!F2:F999,A869))</f>
      </c>
      <c r="F869" s="3">
        <f>IF(A869="","",MAX(0,D869-E869))</f>
      </c>
      <c r="G869" s="3">
        <f>IF(A869="","",IFERROR(E869/D869,0))</f>
      </c>
      <c r="H869" s="3">
        <f>IF(A869="","",IF(E869&gt;D869,"חריגת קיבולת",IF(E869=D869,"מלא","תקין")))</f>
      </c>
      <c r="I869" s="11"/>
      <c r="J869" s="11"/>
      <c r="K869" s="11"/>
      <c r="L869" s="11"/>
    </row>
    <row r="870" spans="1:12" x14ac:dyDescent="0.25">
      <c r="A870" s="11"/>
      <c r="B870" s="11"/>
      <c r="C870" s="11"/>
      <c r="D870" s="11"/>
      <c r="E870" s="3">
        <f>IF(A870="","",COUNTIF('02_Guest_Database'!F2:F999,A870))</f>
      </c>
      <c r="F870" s="3">
        <f>IF(A870="","",MAX(0,D870-E870))</f>
      </c>
      <c r="G870" s="3">
        <f>IF(A870="","",IFERROR(E870/D870,0))</f>
      </c>
      <c r="H870" s="3">
        <f>IF(A870="","",IF(E870&gt;D870,"חריגת קיבולת",IF(E870=D870,"מלא","תקין")))</f>
      </c>
      <c r="I870" s="11"/>
      <c r="J870" s="11"/>
      <c r="K870" s="11"/>
      <c r="L870" s="11"/>
    </row>
    <row r="871" spans="1:12" x14ac:dyDescent="0.25">
      <c r="A871" s="11"/>
      <c r="B871" s="11"/>
      <c r="C871" s="11"/>
      <c r="D871" s="11"/>
      <c r="E871" s="3">
        <f>IF(A871="","",COUNTIF('02_Guest_Database'!F2:F999,A871))</f>
      </c>
      <c r="F871" s="3">
        <f>IF(A871="","",MAX(0,D871-E871))</f>
      </c>
      <c r="G871" s="3">
        <f>IF(A871="","",IFERROR(E871/D871,0))</f>
      </c>
      <c r="H871" s="3">
        <f>IF(A871="","",IF(E871&gt;D871,"חריגת קיבולת",IF(E871=D871,"מלא","תקין")))</f>
      </c>
      <c r="I871" s="11"/>
      <c r="J871" s="11"/>
      <c r="K871" s="11"/>
      <c r="L871" s="11"/>
    </row>
    <row r="872" spans="1:12" x14ac:dyDescent="0.25">
      <c r="A872" s="11"/>
      <c r="B872" s="11"/>
      <c r="C872" s="11"/>
      <c r="D872" s="11"/>
      <c r="E872" s="3">
        <f>IF(A872="","",COUNTIF('02_Guest_Database'!F2:F999,A872))</f>
      </c>
      <c r="F872" s="3">
        <f>IF(A872="","",MAX(0,D872-E872))</f>
      </c>
      <c r="G872" s="3">
        <f>IF(A872="","",IFERROR(E872/D872,0))</f>
      </c>
      <c r="H872" s="3">
        <f>IF(A872="","",IF(E872&gt;D872,"חריגת קיבולת",IF(E872=D872,"מלא","תקין")))</f>
      </c>
      <c r="I872" s="11"/>
      <c r="J872" s="11"/>
      <c r="K872" s="11"/>
      <c r="L872" s="11"/>
    </row>
    <row r="873" spans="1:12" x14ac:dyDescent="0.25">
      <c r="A873" s="11"/>
      <c r="B873" s="11"/>
      <c r="C873" s="11"/>
      <c r="D873" s="11"/>
      <c r="E873" s="3">
        <f>IF(A873="","",COUNTIF('02_Guest_Database'!F2:F999,A873))</f>
      </c>
      <c r="F873" s="3">
        <f>IF(A873="","",MAX(0,D873-E873))</f>
      </c>
      <c r="G873" s="3">
        <f>IF(A873="","",IFERROR(E873/D873,0))</f>
      </c>
      <c r="H873" s="3">
        <f>IF(A873="","",IF(E873&gt;D873,"חריגת קיבולת",IF(E873=D873,"מלא","תקין")))</f>
      </c>
      <c r="I873" s="11"/>
      <c r="J873" s="11"/>
      <c r="K873" s="11"/>
      <c r="L873" s="11"/>
    </row>
    <row r="874" spans="1:12" x14ac:dyDescent="0.25">
      <c r="A874" s="11"/>
      <c r="B874" s="11"/>
      <c r="C874" s="11"/>
      <c r="D874" s="11"/>
      <c r="E874" s="3">
        <f>IF(A874="","",COUNTIF('02_Guest_Database'!F2:F999,A874))</f>
      </c>
      <c r="F874" s="3">
        <f>IF(A874="","",MAX(0,D874-E874))</f>
      </c>
      <c r="G874" s="3">
        <f>IF(A874="","",IFERROR(E874/D874,0))</f>
      </c>
      <c r="H874" s="3">
        <f>IF(A874="","",IF(E874&gt;D874,"חריגת קיבולת",IF(E874=D874,"מלא","תקין")))</f>
      </c>
      <c r="I874" s="11"/>
      <c r="J874" s="11"/>
      <c r="K874" s="11"/>
      <c r="L874" s="11"/>
    </row>
    <row r="875" spans="1:12" x14ac:dyDescent="0.25">
      <c r="A875" s="11"/>
      <c r="B875" s="11"/>
      <c r="C875" s="11"/>
      <c r="D875" s="11"/>
      <c r="E875" s="3">
        <f>IF(A875="","",COUNTIF('02_Guest_Database'!F2:F999,A875))</f>
      </c>
      <c r="F875" s="3">
        <f>IF(A875="","",MAX(0,D875-E875))</f>
      </c>
      <c r="G875" s="3">
        <f>IF(A875="","",IFERROR(E875/D875,0))</f>
      </c>
      <c r="H875" s="3">
        <f>IF(A875="","",IF(E875&gt;D875,"חריגת קיבולת",IF(E875=D875,"מלא","תקין")))</f>
      </c>
      <c r="I875" s="11"/>
      <c r="J875" s="11"/>
      <c r="K875" s="11"/>
      <c r="L875" s="11"/>
    </row>
    <row r="876" spans="1:12" x14ac:dyDescent="0.25">
      <c r="A876" s="11"/>
      <c r="B876" s="11"/>
      <c r="C876" s="11"/>
      <c r="D876" s="11"/>
      <c r="E876" s="3">
        <f>IF(A876="","",COUNTIF('02_Guest_Database'!F2:F999,A876))</f>
      </c>
      <c r="F876" s="3">
        <f>IF(A876="","",MAX(0,D876-E876))</f>
      </c>
      <c r="G876" s="3">
        <f>IF(A876="","",IFERROR(E876/D876,0))</f>
      </c>
      <c r="H876" s="3">
        <f>IF(A876="","",IF(E876&gt;D876,"חריגת קיבולת",IF(E876=D876,"מלא","תקין")))</f>
      </c>
      <c r="I876" s="11"/>
      <c r="J876" s="11"/>
      <c r="K876" s="11"/>
      <c r="L876" s="11"/>
    </row>
    <row r="877" spans="1:12" x14ac:dyDescent="0.25">
      <c r="A877" s="11"/>
      <c r="B877" s="11"/>
      <c r="C877" s="11"/>
      <c r="D877" s="11"/>
      <c r="E877" s="3">
        <f>IF(A877="","",COUNTIF('02_Guest_Database'!F2:F999,A877))</f>
      </c>
      <c r="F877" s="3">
        <f>IF(A877="","",MAX(0,D877-E877))</f>
      </c>
      <c r="G877" s="3">
        <f>IF(A877="","",IFERROR(E877/D877,0))</f>
      </c>
      <c r="H877" s="3">
        <f>IF(A877="","",IF(E877&gt;D877,"חריגת קיבולת",IF(E877=D877,"מלא","תקין")))</f>
      </c>
      <c r="I877" s="11"/>
      <c r="J877" s="11"/>
      <c r="K877" s="11"/>
      <c r="L877" s="11"/>
    </row>
    <row r="878" spans="1:12" x14ac:dyDescent="0.25">
      <c r="A878" s="11"/>
      <c r="B878" s="11"/>
      <c r="C878" s="11"/>
      <c r="D878" s="11"/>
      <c r="E878" s="3">
        <f>IF(A878="","",COUNTIF('02_Guest_Database'!F2:F999,A878))</f>
      </c>
      <c r="F878" s="3">
        <f>IF(A878="","",MAX(0,D878-E878))</f>
      </c>
      <c r="G878" s="3">
        <f>IF(A878="","",IFERROR(E878/D878,0))</f>
      </c>
      <c r="H878" s="3">
        <f>IF(A878="","",IF(E878&gt;D878,"חריגת קיבולת",IF(E878=D878,"מלא","תקין")))</f>
      </c>
      <c r="I878" s="11"/>
      <c r="J878" s="11"/>
      <c r="K878" s="11"/>
      <c r="L878" s="11"/>
    </row>
    <row r="879" spans="1:12" x14ac:dyDescent="0.25">
      <c r="A879" s="11"/>
      <c r="B879" s="11"/>
      <c r="C879" s="11"/>
      <c r="D879" s="11"/>
      <c r="E879" s="3">
        <f>IF(A879="","",COUNTIF('02_Guest_Database'!F2:F999,A879))</f>
      </c>
      <c r="F879" s="3">
        <f>IF(A879="","",MAX(0,D879-E879))</f>
      </c>
      <c r="G879" s="3">
        <f>IF(A879="","",IFERROR(E879/D879,0))</f>
      </c>
      <c r="H879" s="3">
        <f>IF(A879="","",IF(E879&gt;D879,"חריגת קיבולת",IF(E879=D879,"מלא","תקין")))</f>
      </c>
      <c r="I879" s="11"/>
      <c r="J879" s="11"/>
      <c r="K879" s="11"/>
      <c r="L879" s="11"/>
    </row>
    <row r="880" spans="1:12" x14ac:dyDescent="0.25">
      <c r="A880" s="11"/>
      <c r="B880" s="11"/>
      <c r="C880" s="11"/>
      <c r="D880" s="11"/>
      <c r="E880" s="3">
        <f>IF(A880="","",COUNTIF('02_Guest_Database'!F2:F999,A880))</f>
      </c>
      <c r="F880" s="3">
        <f>IF(A880="","",MAX(0,D880-E880))</f>
      </c>
      <c r="G880" s="3">
        <f>IF(A880="","",IFERROR(E880/D880,0))</f>
      </c>
      <c r="H880" s="3">
        <f>IF(A880="","",IF(E880&gt;D880,"חריגת קיבולת",IF(E880=D880,"מלא","תקין")))</f>
      </c>
      <c r="I880" s="11"/>
      <c r="J880" s="11"/>
      <c r="K880" s="11"/>
      <c r="L880" s="11"/>
    </row>
    <row r="881" spans="1:12" x14ac:dyDescent="0.25">
      <c r="A881" s="11"/>
      <c r="B881" s="11"/>
      <c r="C881" s="11"/>
      <c r="D881" s="11"/>
      <c r="E881" s="3">
        <f>IF(A881="","",COUNTIF('02_Guest_Database'!F2:F999,A881))</f>
      </c>
      <c r="F881" s="3">
        <f>IF(A881="","",MAX(0,D881-E881))</f>
      </c>
      <c r="G881" s="3">
        <f>IF(A881="","",IFERROR(E881/D881,0))</f>
      </c>
      <c r="H881" s="3">
        <f>IF(A881="","",IF(E881&gt;D881,"חריגת קיבולת",IF(E881=D881,"מלא","תקין")))</f>
      </c>
      <c r="I881" s="11"/>
      <c r="J881" s="11"/>
      <c r="K881" s="11"/>
      <c r="L881" s="11"/>
    </row>
    <row r="882" spans="1:12" x14ac:dyDescent="0.25">
      <c r="A882" s="11"/>
      <c r="B882" s="11"/>
      <c r="C882" s="11"/>
      <c r="D882" s="11"/>
      <c r="E882" s="3">
        <f>IF(A882="","",COUNTIF('02_Guest_Database'!F2:F999,A882))</f>
      </c>
      <c r="F882" s="3">
        <f>IF(A882="","",MAX(0,D882-E882))</f>
      </c>
      <c r="G882" s="3">
        <f>IF(A882="","",IFERROR(E882/D882,0))</f>
      </c>
      <c r="H882" s="3">
        <f>IF(A882="","",IF(E882&gt;D882,"חריגת קיבולת",IF(E882=D882,"מלא","תקין")))</f>
      </c>
      <c r="I882" s="11"/>
      <c r="J882" s="11"/>
      <c r="K882" s="11"/>
      <c r="L882" s="11"/>
    </row>
    <row r="883" spans="1:12" x14ac:dyDescent="0.25">
      <c r="A883" s="11"/>
      <c r="B883" s="11"/>
      <c r="C883" s="11"/>
      <c r="D883" s="11"/>
      <c r="E883" s="3">
        <f>IF(A883="","",COUNTIF('02_Guest_Database'!F2:F999,A883))</f>
      </c>
      <c r="F883" s="3">
        <f>IF(A883="","",MAX(0,D883-E883))</f>
      </c>
      <c r="G883" s="3">
        <f>IF(A883="","",IFERROR(E883/D883,0))</f>
      </c>
      <c r="H883" s="3">
        <f>IF(A883="","",IF(E883&gt;D883,"חריגת קיבולת",IF(E883=D883,"מלא","תקין")))</f>
      </c>
      <c r="I883" s="11"/>
      <c r="J883" s="11"/>
      <c r="K883" s="11"/>
      <c r="L883" s="11"/>
    </row>
    <row r="884" spans="1:12" x14ac:dyDescent="0.25">
      <c r="A884" s="11"/>
      <c r="B884" s="11"/>
      <c r="C884" s="11"/>
      <c r="D884" s="11"/>
      <c r="E884" s="3">
        <f>IF(A884="","",COUNTIF('02_Guest_Database'!F2:F999,A884))</f>
      </c>
      <c r="F884" s="3">
        <f>IF(A884="","",MAX(0,D884-E884))</f>
      </c>
      <c r="G884" s="3">
        <f>IF(A884="","",IFERROR(E884/D884,0))</f>
      </c>
      <c r="H884" s="3">
        <f>IF(A884="","",IF(E884&gt;D884,"חריגת קיבולת",IF(E884=D884,"מלא","תקין")))</f>
      </c>
      <c r="I884" s="11"/>
      <c r="J884" s="11"/>
      <c r="K884" s="11"/>
      <c r="L884" s="11"/>
    </row>
    <row r="885" spans="1:12" x14ac:dyDescent="0.25">
      <c r="A885" s="11"/>
      <c r="B885" s="11"/>
      <c r="C885" s="11"/>
      <c r="D885" s="11"/>
      <c r="E885" s="3">
        <f>IF(A885="","",COUNTIF('02_Guest_Database'!F2:F999,A885))</f>
      </c>
      <c r="F885" s="3">
        <f>IF(A885="","",MAX(0,D885-E885))</f>
      </c>
      <c r="G885" s="3">
        <f>IF(A885="","",IFERROR(E885/D885,0))</f>
      </c>
      <c r="H885" s="3">
        <f>IF(A885="","",IF(E885&gt;D885,"חריגת קיבולת",IF(E885=D885,"מלא","תקין")))</f>
      </c>
      <c r="I885" s="11"/>
      <c r="J885" s="11"/>
      <c r="K885" s="11"/>
      <c r="L885" s="11"/>
    </row>
    <row r="886" spans="1:12" x14ac:dyDescent="0.25">
      <c r="A886" s="11"/>
      <c r="B886" s="11"/>
      <c r="C886" s="11"/>
      <c r="D886" s="11"/>
      <c r="E886" s="3">
        <f>IF(A886="","",COUNTIF('02_Guest_Database'!F2:F999,A886))</f>
      </c>
      <c r="F886" s="3">
        <f>IF(A886="","",MAX(0,D886-E886))</f>
      </c>
      <c r="G886" s="3">
        <f>IF(A886="","",IFERROR(E886/D886,0))</f>
      </c>
      <c r="H886" s="3">
        <f>IF(A886="","",IF(E886&gt;D886,"חריגת קיבולת",IF(E886=D886,"מלא","תקין")))</f>
      </c>
      <c r="I886" s="11"/>
      <c r="J886" s="11"/>
      <c r="K886" s="11"/>
      <c r="L886" s="11"/>
    </row>
    <row r="887" spans="1:12" x14ac:dyDescent="0.25">
      <c r="A887" s="11"/>
      <c r="B887" s="11"/>
      <c r="C887" s="11"/>
      <c r="D887" s="11"/>
      <c r="E887" s="3">
        <f>IF(A887="","",COUNTIF('02_Guest_Database'!F2:F999,A887))</f>
      </c>
      <c r="F887" s="3">
        <f>IF(A887="","",MAX(0,D887-E887))</f>
      </c>
      <c r="G887" s="3">
        <f>IF(A887="","",IFERROR(E887/D887,0))</f>
      </c>
      <c r="H887" s="3">
        <f>IF(A887="","",IF(E887&gt;D887,"חריגת קיבולת",IF(E887=D887,"מלא","תקין")))</f>
      </c>
      <c r="I887" s="11"/>
      <c r="J887" s="11"/>
      <c r="K887" s="11"/>
      <c r="L887" s="11"/>
    </row>
    <row r="888" spans="1:12" x14ac:dyDescent="0.25">
      <c r="A888" s="11"/>
      <c r="B888" s="11"/>
      <c r="C888" s="11"/>
      <c r="D888" s="11"/>
      <c r="E888" s="3">
        <f>IF(A888="","",COUNTIF('02_Guest_Database'!F2:F999,A888))</f>
      </c>
      <c r="F888" s="3">
        <f>IF(A888="","",MAX(0,D888-E888))</f>
      </c>
      <c r="G888" s="3">
        <f>IF(A888="","",IFERROR(E888/D888,0))</f>
      </c>
      <c r="H888" s="3">
        <f>IF(A888="","",IF(E888&gt;D888,"חריגת קיבולת",IF(E888=D888,"מלא","תקין")))</f>
      </c>
      <c r="I888" s="11"/>
      <c r="J888" s="11"/>
      <c r="K888" s="11"/>
      <c r="L888" s="11"/>
    </row>
    <row r="889" spans="1:12" x14ac:dyDescent="0.25">
      <c r="A889" s="11"/>
      <c r="B889" s="11"/>
      <c r="C889" s="11"/>
      <c r="D889" s="11"/>
      <c r="E889" s="3">
        <f>IF(A889="","",COUNTIF('02_Guest_Database'!F2:F999,A889))</f>
      </c>
      <c r="F889" s="3">
        <f>IF(A889="","",MAX(0,D889-E889))</f>
      </c>
      <c r="G889" s="3">
        <f>IF(A889="","",IFERROR(E889/D889,0))</f>
      </c>
      <c r="H889" s="3">
        <f>IF(A889="","",IF(E889&gt;D889,"חריגת קיבולת",IF(E889=D889,"מלא","תקין")))</f>
      </c>
      <c r="I889" s="11"/>
      <c r="J889" s="11"/>
      <c r="K889" s="11"/>
      <c r="L889" s="11"/>
    </row>
    <row r="890" spans="1:12" x14ac:dyDescent="0.25">
      <c r="A890" s="11"/>
      <c r="B890" s="11"/>
      <c r="C890" s="11"/>
      <c r="D890" s="11"/>
      <c r="E890" s="3">
        <f>IF(A890="","",COUNTIF('02_Guest_Database'!F2:F999,A890))</f>
      </c>
      <c r="F890" s="3">
        <f>IF(A890="","",MAX(0,D890-E890))</f>
      </c>
      <c r="G890" s="3">
        <f>IF(A890="","",IFERROR(E890/D890,0))</f>
      </c>
      <c r="H890" s="3">
        <f>IF(A890="","",IF(E890&gt;D890,"חריגת קיבולת",IF(E890=D890,"מלא","תקין")))</f>
      </c>
      <c r="I890" s="11"/>
      <c r="J890" s="11"/>
      <c r="K890" s="11"/>
      <c r="L890" s="11"/>
    </row>
    <row r="891" spans="1:12" x14ac:dyDescent="0.25">
      <c r="A891" s="11"/>
      <c r="B891" s="11"/>
      <c r="C891" s="11"/>
      <c r="D891" s="11"/>
      <c r="E891" s="3">
        <f>IF(A891="","",COUNTIF('02_Guest_Database'!F2:F999,A891))</f>
      </c>
      <c r="F891" s="3">
        <f>IF(A891="","",MAX(0,D891-E891))</f>
      </c>
      <c r="G891" s="3">
        <f>IF(A891="","",IFERROR(E891/D891,0))</f>
      </c>
      <c r="H891" s="3">
        <f>IF(A891="","",IF(E891&gt;D891,"חריגת קיבולת",IF(E891=D891,"מלא","תקין")))</f>
      </c>
      <c r="I891" s="11"/>
      <c r="J891" s="11"/>
      <c r="K891" s="11"/>
      <c r="L891" s="11"/>
    </row>
    <row r="892" spans="1:12" x14ac:dyDescent="0.25">
      <c r="A892" s="11"/>
      <c r="B892" s="11"/>
      <c r="C892" s="11"/>
      <c r="D892" s="11"/>
      <c r="E892" s="3">
        <f>IF(A892="","",COUNTIF('02_Guest_Database'!F2:F999,A892))</f>
      </c>
      <c r="F892" s="3">
        <f>IF(A892="","",MAX(0,D892-E892))</f>
      </c>
      <c r="G892" s="3">
        <f>IF(A892="","",IFERROR(E892/D892,0))</f>
      </c>
      <c r="H892" s="3">
        <f>IF(A892="","",IF(E892&gt;D892,"חריגת קיבולת",IF(E892=D892,"מלא","תקין")))</f>
      </c>
      <c r="I892" s="11"/>
      <c r="J892" s="11"/>
      <c r="K892" s="11"/>
      <c r="L892" s="11"/>
    </row>
    <row r="893" spans="1:12" x14ac:dyDescent="0.25">
      <c r="A893" s="11"/>
      <c r="B893" s="11"/>
      <c r="C893" s="11"/>
      <c r="D893" s="11"/>
      <c r="E893" s="3">
        <f>IF(A893="","",COUNTIF('02_Guest_Database'!F2:F999,A893))</f>
      </c>
      <c r="F893" s="3">
        <f>IF(A893="","",MAX(0,D893-E893))</f>
      </c>
      <c r="G893" s="3">
        <f>IF(A893="","",IFERROR(E893/D893,0))</f>
      </c>
      <c r="H893" s="3">
        <f>IF(A893="","",IF(E893&gt;D893,"חריגת קיבולת",IF(E893=D893,"מלא","תקין")))</f>
      </c>
      <c r="I893" s="11"/>
      <c r="J893" s="11"/>
      <c r="K893" s="11"/>
      <c r="L893" s="11"/>
    </row>
    <row r="894" spans="1:12" x14ac:dyDescent="0.25">
      <c r="A894" s="11"/>
      <c r="B894" s="11"/>
      <c r="C894" s="11"/>
      <c r="D894" s="11"/>
      <c r="E894" s="3">
        <f>IF(A894="","",COUNTIF('02_Guest_Database'!F2:F999,A894))</f>
      </c>
      <c r="F894" s="3">
        <f>IF(A894="","",MAX(0,D894-E894))</f>
      </c>
      <c r="G894" s="3">
        <f>IF(A894="","",IFERROR(E894/D894,0))</f>
      </c>
      <c r="H894" s="3">
        <f>IF(A894="","",IF(E894&gt;D894,"חריגת קיבולת",IF(E894=D894,"מלא","תקין")))</f>
      </c>
      <c r="I894" s="11"/>
      <c r="J894" s="11"/>
      <c r="K894" s="11"/>
      <c r="L894" s="11"/>
    </row>
    <row r="895" spans="1:12" x14ac:dyDescent="0.25">
      <c r="A895" s="11"/>
      <c r="B895" s="11"/>
      <c r="C895" s="11"/>
      <c r="D895" s="11"/>
      <c r="E895" s="3">
        <f>IF(A895="","",COUNTIF('02_Guest_Database'!F2:F999,A895))</f>
      </c>
      <c r="F895" s="3">
        <f>IF(A895="","",MAX(0,D895-E895))</f>
      </c>
      <c r="G895" s="3">
        <f>IF(A895="","",IFERROR(E895/D895,0))</f>
      </c>
      <c r="H895" s="3">
        <f>IF(A895="","",IF(E895&gt;D895,"חריגת קיבולת",IF(E895=D895,"מלא","תקין")))</f>
      </c>
      <c r="I895" s="11"/>
      <c r="J895" s="11"/>
      <c r="K895" s="11"/>
      <c r="L895" s="11"/>
    </row>
    <row r="896" spans="1:12" x14ac:dyDescent="0.25">
      <c r="A896" s="11"/>
      <c r="B896" s="11"/>
      <c r="C896" s="11"/>
      <c r="D896" s="11"/>
      <c r="E896" s="3">
        <f>IF(A896="","",COUNTIF('02_Guest_Database'!F2:F999,A896))</f>
      </c>
      <c r="F896" s="3">
        <f>IF(A896="","",MAX(0,D896-E896))</f>
      </c>
      <c r="G896" s="3">
        <f>IF(A896="","",IFERROR(E896/D896,0))</f>
      </c>
      <c r="H896" s="3">
        <f>IF(A896="","",IF(E896&gt;D896,"חריגת קיבולת",IF(E896=D896,"מלא","תקין")))</f>
      </c>
      <c r="I896" s="11"/>
      <c r="J896" s="11"/>
      <c r="K896" s="11"/>
      <c r="L896" s="11"/>
    </row>
    <row r="897" spans="1:12" x14ac:dyDescent="0.25">
      <c r="A897" s="11"/>
      <c r="B897" s="11"/>
      <c r="C897" s="11"/>
      <c r="D897" s="11"/>
      <c r="E897" s="3">
        <f>IF(A897="","",COUNTIF('02_Guest_Database'!F2:F999,A897))</f>
      </c>
      <c r="F897" s="3">
        <f>IF(A897="","",MAX(0,D897-E897))</f>
      </c>
      <c r="G897" s="3">
        <f>IF(A897="","",IFERROR(E897/D897,0))</f>
      </c>
      <c r="H897" s="3">
        <f>IF(A897="","",IF(E897&gt;D897,"חריגת קיבולת",IF(E897=D897,"מלא","תקין")))</f>
      </c>
      <c r="I897" s="11"/>
      <c r="J897" s="11"/>
      <c r="K897" s="11"/>
      <c r="L897" s="11"/>
    </row>
    <row r="898" spans="1:12" x14ac:dyDescent="0.25">
      <c r="A898" s="11"/>
      <c r="B898" s="11"/>
      <c r="C898" s="11"/>
      <c r="D898" s="11"/>
      <c r="E898" s="3">
        <f>IF(A898="","",COUNTIF('02_Guest_Database'!F2:F999,A898))</f>
      </c>
      <c r="F898" s="3">
        <f>IF(A898="","",MAX(0,D898-E898))</f>
      </c>
      <c r="G898" s="3">
        <f>IF(A898="","",IFERROR(E898/D898,0))</f>
      </c>
      <c r="H898" s="3">
        <f>IF(A898="","",IF(E898&gt;D898,"חריגת קיבולת",IF(E898=D898,"מלא","תקין")))</f>
      </c>
      <c r="I898" s="11"/>
      <c r="J898" s="11"/>
      <c r="K898" s="11"/>
      <c r="L898" s="11"/>
    </row>
    <row r="899" spans="1:12" x14ac:dyDescent="0.25">
      <c r="A899" s="11"/>
      <c r="B899" s="11"/>
      <c r="C899" s="11"/>
      <c r="D899" s="11"/>
      <c r="E899" s="3">
        <f>IF(A899="","",COUNTIF('02_Guest_Database'!F2:F999,A899))</f>
      </c>
      <c r="F899" s="3">
        <f>IF(A899="","",MAX(0,D899-E899))</f>
      </c>
      <c r="G899" s="3">
        <f>IF(A899="","",IFERROR(E899/D899,0))</f>
      </c>
      <c r="H899" s="3">
        <f>IF(A899="","",IF(E899&gt;D899,"חריגת קיבולת",IF(E899=D899,"מלא","תקין")))</f>
      </c>
      <c r="I899" s="11"/>
      <c r="J899" s="11"/>
      <c r="K899" s="11"/>
      <c r="L899" s="11"/>
    </row>
    <row r="900" spans="1:12" x14ac:dyDescent="0.25">
      <c r="A900" s="11"/>
      <c r="B900" s="11"/>
      <c r="C900" s="11"/>
      <c r="D900" s="11"/>
      <c r="E900" s="3">
        <f>IF(A900="","",COUNTIF('02_Guest_Database'!F2:F999,A900))</f>
      </c>
      <c r="F900" s="3">
        <f>IF(A900="","",MAX(0,D900-E900))</f>
      </c>
      <c r="G900" s="3">
        <f>IF(A900="","",IFERROR(E900/D900,0))</f>
      </c>
      <c r="H900" s="3">
        <f>IF(A900="","",IF(E900&gt;D900,"חריגת קיבולת",IF(E900=D900,"מלא","תקין")))</f>
      </c>
      <c r="I900" s="11"/>
      <c r="J900" s="11"/>
      <c r="K900" s="11"/>
      <c r="L900" s="11"/>
    </row>
    <row r="901" spans="1:12" x14ac:dyDescent="0.25">
      <c r="A901" s="11"/>
      <c r="B901" s="11"/>
      <c r="C901" s="11"/>
      <c r="D901" s="11"/>
      <c r="E901" s="3">
        <f>IF(A901="","",COUNTIF('02_Guest_Database'!F2:F999,A901))</f>
      </c>
      <c r="F901" s="3">
        <f>IF(A901="","",MAX(0,D901-E901))</f>
      </c>
      <c r="G901" s="3">
        <f>IF(A901="","",IFERROR(E901/D901,0))</f>
      </c>
      <c r="H901" s="3">
        <f>IF(A901="","",IF(E901&gt;D901,"חריגת קיבולת",IF(E901=D901,"מלא","תקין")))</f>
      </c>
      <c r="I901" s="11"/>
      <c r="J901" s="11"/>
      <c r="K901" s="11"/>
      <c r="L901" s="11"/>
    </row>
    <row r="902" spans="1:12" x14ac:dyDescent="0.25">
      <c r="A902" s="11"/>
      <c r="B902" s="11"/>
      <c r="C902" s="11"/>
      <c r="D902" s="11"/>
      <c r="E902" s="3">
        <f>IF(A902="","",COUNTIF('02_Guest_Database'!F2:F999,A902))</f>
      </c>
      <c r="F902" s="3">
        <f>IF(A902="","",MAX(0,D902-E902))</f>
      </c>
      <c r="G902" s="3">
        <f>IF(A902="","",IFERROR(E902/D902,0))</f>
      </c>
      <c r="H902" s="3">
        <f>IF(A902="","",IF(E902&gt;D902,"חריגת קיבולת",IF(E902=D902,"מלא","תקין")))</f>
      </c>
      <c r="I902" s="11"/>
      <c r="J902" s="11"/>
      <c r="K902" s="11"/>
      <c r="L902" s="11"/>
    </row>
    <row r="903" spans="1:12" x14ac:dyDescent="0.25">
      <c r="A903" s="11"/>
      <c r="B903" s="11"/>
      <c r="C903" s="11"/>
      <c r="D903" s="11"/>
      <c r="E903" s="3">
        <f>IF(A903="","",COUNTIF('02_Guest_Database'!F2:F999,A903))</f>
      </c>
      <c r="F903" s="3">
        <f>IF(A903="","",MAX(0,D903-E903))</f>
      </c>
      <c r="G903" s="3">
        <f>IF(A903="","",IFERROR(E903/D903,0))</f>
      </c>
      <c r="H903" s="3">
        <f>IF(A903="","",IF(E903&gt;D903,"חריגת קיבולת",IF(E903=D903,"מלא","תקין")))</f>
      </c>
      <c r="I903" s="11"/>
      <c r="J903" s="11"/>
      <c r="K903" s="11"/>
      <c r="L903" s="11"/>
    </row>
    <row r="904" spans="1:12" x14ac:dyDescent="0.25">
      <c r="A904" s="11"/>
      <c r="B904" s="11"/>
      <c r="C904" s="11"/>
      <c r="D904" s="11"/>
      <c r="E904" s="3">
        <f>IF(A904="","",COUNTIF('02_Guest_Database'!F2:F999,A904))</f>
      </c>
      <c r="F904" s="3">
        <f>IF(A904="","",MAX(0,D904-E904))</f>
      </c>
      <c r="G904" s="3">
        <f>IF(A904="","",IFERROR(E904/D904,0))</f>
      </c>
      <c r="H904" s="3">
        <f>IF(A904="","",IF(E904&gt;D904,"חריגת קיבולת",IF(E904=D904,"מלא","תקין")))</f>
      </c>
      <c r="I904" s="11"/>
      <c r="J904" s="11"/>
      <c r="K904" s="11"/>
      <c r="L904" s="11"/>
    </row>
    <row r="905" spans="1:12" x14ac:dyDescent="0.25">
      <c r="A905" s="11"/>
      <c r="B905" s="11"/>
      <c r="C905" s="11"/>
      <c r="D905" s="11"/>
      <c r="E905" s="3">
        <f>IF(A905="","",COUNTIF('02_Guest_Database'!F2:F999,A905))</f>
      </c>
      <c r="F905" s="3">
        <f>IF(A905="","",MAX(0,D905-E905))</f>
      </c>
      <c r="G905" s="3">
        <f>IF(A905="","",IFERROR(E905/D905,0))</f>
      </c>
      <c r="H905" s="3">
        <f>IF(A905="","",IF(E905&gt;D905,"חריגת קיבולת",IF(E905=D905,"מלא","תקין")))</f>
      </c>
      <c r="I905" s="11"/>
      <c r="J905" s="11"/>
      <c r="K905" s="11"/>
      <c r="L905" s="11"/>
    </row>
    <row r="906" spans="1:12" x14ac:dyDescent="0.25">
      <c r="A906" s="11"/>
      <c r="B906" s="11"/>
      <c r="C906" s="11"/>
      <c r="D906" s="11"/>
      <c r="E906" s="3">
        <f>IF(A906="","",COUNTIF('02_Guest_Database'!F2:F999,A906))</f>
      </c>
      <c r="F906" s="3">
        <f>IF(A906="","",MAX(0,D906-E906))</f>
      </c>
      <c r="G906" s="3">
        <f>IF(A906="","",IFERROR(E906/D906,0))</f>
      </c>
      <c r="H906" s="3">
        <f>IF(A906="","",IF(E906&gt;D906,"חריגת קיבולת",IF(E906=D906,"מלא","תקין")))</f>
      </c>
      <c r="I906" s="11"/>
      <c r="J906" s="11"/>
      <c r="K906" s="11"/>
      <c r="L906" s="11"/>
    </row>
    <row r="907" spans="1:12" x14ac:dyDescent="0.25">
      <c r="A907" s="11"/>
      <c r="B907" s="11"/>
      <c r="C907" s="11"/>
      <c r="D907" s="11"/>
      <c r="E907" s="3">
        <f>IF(A907="","",COUNTIF('02_Guest_Database'!F2:F999,A907))</f>
      </c>
      <c r="F907" s="3">
        <f>IF(A907="","",MAX(0,D907-E907))</f>
      </c>
      <c r="G907" s="3">
        <f>IF(A907="","",IFERROR(E907/D907,0))</f>
      </c>
      <c r="H907" s="3">
        <f>IF(A907="","",IF(E907&gt;D907,"חריגת קיבולת",IF(E907=D907,"מלא","תקין")))</f>
      </c>
      <c r="I907" s="11"/>
      <c r="J907" s="11"/>
      <c r="K907" s="11"/>
      <c r="L907" s="11"/>
    </row>
    <row r="908" spans="1:12" x14ac:dyDescent="0.25">
      <c r="A908" s="11"/>
      <c r="B908" s="11"/>
      <c r="C908" s="11"/>
      <c r="D908" s="11"/>
      <c r="E908" s="3">
        <f>IF(A908="","",COUNTIF('02_Guest_Database'!F2:F999,A908))</f>
      </c>
      <c r="F908" s="3">
        <f>IF(A908="","",MAX(0,D908-E908))</f>
      </c>
      <c r="G908" s="3">
        <f>IF(A908="","",IFERROR(E908/D908,0))</f>
      </c>
      <c r="H908" s="3">
        <f>IF(A908="","",IF(E908&gt;D908,"חריגת קיבולת",IF(E908=D908,"מלא","תקין")))</f>
      </c>
      <c r="I908" s="11"/>
      <c r="J908" s="11"/>
      <c r="K908" s="11"/>
      <c r="L908" s="11"/>
    </row>
    <row r="909" spans="1:12" x14ac:dyDescent="0.25">
      <c r="A909" s="11"/>
      <c r="B909" s="11"/>
      <c r="C909" s="11"/>
      <c r="D909" s="11"/>
      <c r="E909" s="3">
        <f>IF(A909="","",COUNTIF('02_Guest_Database'!F2:F999,A909))</f>
      </c>
      <c r="F909" s="3">
        <f>IF(A909="","",MAX(0,D909-E909))</f>
      </c>
      <c r="G909" s="3">
        <f>IF(A909="","",IFERROR(E909/D909,0))</f>
      </c>
      <c r="H909" s="3">
        <f>IF(A909="","",IF(E909&gt;D909,"חריגת קיבולת",IF(E909=D909,"מלא","תקין")))</f>
      </c>
      <c r="I909" s="11"/>
      <c r="J909" s="11"/>
      <c r="K909" s="11"/>
      <c r="L909" s="11"/>
    </row>
    <row r="910" spans="1:12" x14ac:dyDescent="0.25">
      <c r="A910" s="11"/>
      <c r="B910" s="11"/>
      <c r="C910" s="11"/>
      <c r="D910" s="11"/>
      <c r="E910" s="3">
        <f>IF(A910="","",COUNTIF('02_Guest_Database'!F2:F999,A910))</f>
      </c>
      <c r="F910" s="3">
        <f>IF(A910="","",MAX(0,D910-E910))</f>
      </c>
      <c r="G910" s="3">
        <f>IF(A910="","",IFERROR(E910/D910,0))</f>
      </c>
      <c r="H910" s="3">
        <f>IF(A910="","",IF(E910&gt;D910,"חריגת קיבולת",IF(E910=D910,"מלא","תקין")))</f>
      </c>
      <c r="I910" s="11"/>
      <c r="J910" s="11"/>
      <c r="K910" s="11"/>
      <c r="L910" s="11"/>
    </row>
    <row r="911" spans="1:12" x14ac:dyDescent="0.25">
      <c r="A911" s="11"/>
      <c r="B911" s="11"/>
      <c r="C911" s="11"/>
      <c r="D911" s="11"/>
      <c r="E911" s="3">
        <f>IF(A911="","",COUNTIF('02_Guest_Database'!F2:F999,A911))</f>
      </c>
      <c r="F911" s="3">
        <f>IF(A911="","",MAX(0,D911-E911))</f>
      </c>
      <c r="G911" s="3">
        <f>IF(A911="","",IFERROR(E911/D911,0))</f>
      </c>
      <c r="H911" s="3">
        <f>IF(A911="","",IF(E911&gt;D911,"חריגת קיבולת",IF(E911=D911,"מלא","תקין")))</f>
      </c>
      <c r="I911" s="11"/>
      <c r="J911" s="11"/>
      <c r="K911" s="11"/>
      <c r="L911" s="11"/>
    </row>
    <row r="912" spans="1:12" x14ac:dyDescent="0.25">
      <c r="A912" s="11"/>
      <c r="B912" s="11"/>
      <c r="C912" s="11"/>
      <c r="D912" s="11"/>
      <c r="E912" s="3">
        <f>IF(A912="","",COUNTIF('02_Guest_Database'!F2:F999,A912))</f>
      </c>
      <c r="F912" s="3">
        <f>IF(A912="","",MAX(0,D912-E912))</f>
      </c>
      <c r="G912" s="3">
        <f>IF(A912="","",IFERROR(E912/D912,0))</f>
      </c>
      <c r="H912" s="3">
        <f>IF(A912="","",IF(E912&gt;D912,"חריגת קיבולת",IF(E912=D912,"מלא","תקין")))</f>
      </c>
      <c r="I912" s="11"/>
      <c r="J912" s="11"/>
      <c r="K912" s="11"/>
      <c r="L912" s="11"/>
    </row>
    <row r="913" spans="1:12" x14ac:dyDescent="0.25">
      <c r="A913" s="11"/>
      <c r="B913" s="11"/>
      <c r="C913" s="11"/>
      <c r="D913" s="11"/>
      <c r="E913" s="3">
        <f>IF(A913="","",COUNTIF('02_Guest_Database'!F2:F999,A913))</f>
      </c>
      <c r="F913" s="3">
        <f>IF(A913="","",MAX(0,D913-E913))</f>
      </c>
      <c r="G913" s="3">
        <f>IF(A913="","",IFERROR(E913/D913,0))</f>
      </c>
      <c r="H913" s="3">
        <f>IF(A913="","",IF(E913&gt;D913,"חריגת קיבולת",IF(E913=D913,"מלא","תקין")))</f>
      </c>
      <c r="I913" s="11"/>
      <c r="J913" s="11"/>
      <c r="K913" s="11"/>
      <c r="L913" s="11"/>
    </row>
    <row r="914" spans="1:12" x14ac:dyDescent="0.25">
      <c r="A914" s="11"/>
      <c r="B914" s="11"/>
      <c r="C914" s="11"/>
      <c r="D914" s="11"/>
      <c r="E914" s="3">
        <f>IF(A914="","",COUNTIF('02_Guest_Database'!F2:F999,A914))</f>
      </c>
      <c r="F914" s="3">
        <f>IF(A914="","",MAX(0,D914-E914))</f>
      </c>
      <c r="G914" s="3">
        <f>IF(A914="","",IFERROR(E914/D914,0))</f>
      </c>
      <c r="H914" s="3">
        <f>IF(A914="","",IF(E914&gt;D914,"חריגת קיבולת",IF(E914=D914,"מלא","תקין")))</f>
      </c>
      <c r="I914" s="11"/>
      <c r="J914" s="11"/>
      <c r="K914" s="11"/>
      <c r="L914" s="11"/>
    </row>
    <row r="915" spans="1:12" x14ac:dyDescent="0.25">
      <c r="A915" s="11"/>
      <c r="B915" s="11"/>
      <c r="C915" s="11"/>
      <c r="D915" s="11"/>
      <c r="E915" s="3">
        <f>IF(A915="","",COUNTIF('02_Guest_Database'!F2:F999,A915))</f>
      </c>
      <c r="F915" s="3">
        <f>IF(A915="","",MAX(0,D915-E915))</f>
      </c>
      <c r="G915" s="3">
        <f>IF(A915="","",IFERROR(E915/D915,0))</f>
      </c>
      <c r="H915" s="3">
        <f>IF(A915="","",IF(E915&gt;D915,"חריגת קיבולת",IF(E915=D915,"מלא","תקין")))</f>
      </c>
      <c r="I915" s="11"/>
      <c r="J915" s="11"/>
      <c r="K915" s="11"/>
      <c r="L915" s="11"/>
    </row>
    <row r="916" spans="1:12" x14ac:dyDescent="0.25">
      <c r="A916" s="11"/>
      <c r="B916" s="11"/>
      <c r="C916" s="11"/>
      <c r="D916" s="11"/>
      <c r="E916" s="3">
        <f>IF(A916="","",COUNTIF('02_Guest_Database'!F2:F999,A916))</f>
      </c>
      <c r="F916" s="3">
        <f>IF(A916="","",MAX(0,D916-E916))</f>
      </c>
      <c r="G916" s="3">
        <f>IF(A916="","",IFERROR(E916/D916,0))</f>
      </c>
      <c r="H916" s="3">
        <f>IF(A916="","",IF(E916&gt;D916,"חריגת קיבולת",IF(E916=D916,"מלא","תקין")))</f>
      </c>
      <c r="I916" s="11"/>
      <c r="J916" s="11"/>
      <c r="K916" s="11"/>
      <c r="L916" s="11"/>
    </row>
    <row r="917" spans="1:12" x14ac:dyDescent="0.25">
      <c r="A917" s="11"/>
      <c r="B917" s="11"/>
      <c r="C917" s="11"/>
      <c r="D917" s="11"/>
      <c r="E917" s="3">
        <f>IF(A917="","",COUNTIF('02_Guest_Database'!F2:F999,A917))</f>
      </c>
      <c r="F917" s="3">
        <f>IF(A917="","",MAX(0,D917-E917))</f>
      </c>
      <c r="G917" s="3">
        <f>IF(A917="","",IFERROR(E917/D917,0))</f>
      </c>
      <c r="H917" s="3">
        <f>IF(A917="","",IF(E917&gt;D917,"חריגת קיבולת",IF(E917=D917,"מלא","תקין")))</f>
      </c>
      <c r="I917" s="11"/>
      <c r="J917" s="11"/>
      <c r="K917" s="11"/>
      <c r="L917" s="11"/>
    </row>
    <row r="918" spans="1:12" x14ac:dyDescent="0.25">
      <c r="A918" s="11"/>
      <c r="B918" s="11"/>
      <c r="C918" s="11"/>
      <c r="D918" s="11"/>
      <c r="E918" s="3">
        <f>IF(A918="","",COUNTIF('02_Guest_Database'!F2:F999,A918))</f>
      </c>
      <c r="F918" s="3">
        <f>IF(A918="","",MAX(0,D918-E918))</f>
      </c>
      <c r="G918" s="3">
        <f>IF(A918="","",IFERROR(E918/D918,0))</f>
      </c>
      <c r="H918" s="3">
        <f>IF(A918="","",IF(E918&gt;D918,"חריגת קיבולת",IF(E918=D918,"מלא","תקין")))</f>
      </c>
      <c r="I918" s="11"/>
      <c r="J918" s="11"/>
      <c r="K918" s="11"/>
      <c r="L918" s="11"/>
    </row>
    <row r="919" spans="1:12" x14ac:dyDescent="0.25">
      <c r="A919" s="11"/>
      <c r="B919" s="11"/>
      <c r="C919" s="11"/>
      <c r="D919" s="11"/>
      <c r="E919" s="3">
        <f>IF(A919="","",COUNTIF('02_Guest_Database'!F2:F999,A919))</f>
      </c>
      <c r="F919" s="3">
        <f>IF(A919="","",MAX(0,D919-E919))</f>
      </c>
      <c r="G919" s="3">
        <f>IF(A919="","",IFERROR(E919/D919,0))</f>
      </c>
      <c r="H919" s="3">
        <f>IF(A919="","",IF(E919&gt;D919,"חריגת קיבולת",IF(E919=D919,"מלא","תקין")))</f>
      </c>
      <c r="I919" s="11"/>
      <c r="J919" s="11"/>
      <c r="K919" s="11"/>
      <c r="L919" s="11"/>
    </row>
    <row r="920" spans="1:12" x14ac:dyDescent="0.25">
      <c r="A920" s="11"/>
      <c r="B920" s="11"/>
      <c r="C920" s="11"/>
      <c r="D920" s="11"/>
      <c r="E920" s="3">
        <f>IF(A920="","",COUNTIF('02_Guest_Database'!F2:F999,A920))</f>
      </c>
      <c r="F920" s="3">
        <f>IF(A920="","",MAX(0,D920-E920))</f>
      </c>
      <c r="G920" s="3">
        <f>IF(A920="","",IFERROR(E920/D920,0))</f>
      </c>
      <c r="H920" s="3">
        <f>IF(A920="","",IF(E920&gt;D920,"חריגת קיבולת",IF(E920=D920,"מלא","תקין")))</f>
      </c>
      <c r="I920" s="11"/>
      <c r="J920" s="11"/>
      <c r="K920" s="11"/>
      <c r="L920" s="11"/>
    </row>
    <row r="921" spans="1:12" x14ac:dyDescent="0.25">
      <c r="A921" s="11"/>
      <c r="B921" s="11"/>
      <c r="C921" s="11"/>
      <c r="D921" s="11"/>
      <c r="E921" s="3">
        <f>IF(A921="","",COUNTIF('02_Guest_Database'!F2:F999,A921))</f>
      </c>
      <c r="F921" s="3">
        <f>IF(A921="","",MAX(0,D921-E921))</f>
      </c>
      <c r="G921" s="3">
        <f>IF(A921="","",IFERROR(E921/D921,0))</f>
      </c>
      <c r="H921" s="3">
        <f>IF(A921="","",IF(E921&gt;D921,"חריגת קיבולת",IF(E921=D921,"מלא","תקין")))</f>
      </c>
      <c r="I921" s="11"/>
      <c r="J921" s="11"/>
      <c r="K921" s="11"/>
      <c r="L921" s="11"/>
    </row>
    <row r="922" spans="1:12" x14ac:dyDescent="0.25">
      <c r="A922" s="11"/>
      <c r="B922" s="11"/>
      <c r="C922" s="11"/>
      <c r="D922" s="11"/>
      <c r="E922" s="3">
        <f>IF(A922="","",COUNTIF('02_Guest_Database'!F2:F999,A922))</f>
      </c>
      <c r="F922" s="3">
        <f>IF(A922="","",MAX(0,D922-E922))</f>
      </c>
      <c r="G922" s="3">
        <f>IF(A922="","",IFERROR(E922/D922,0))</f>
      </c>
      <c r="H922" s="3">
        <f>IF(A922="","",IF(E922&gt;D922,"חריגת קיבולת",IF(E922=D922,"מלא","תקין")))</f>
      </c>
      <c r="I922" s="11"/>
      <c r="J922" s="11"/>
      <c r="K922" s="11"/>
      <c r="L922" s="11"/>
    </row>
    <row r="923" spans="1:12" x14ac:dyDescent="0.25">
      <c r="A923" s="11"/>
      <c r="B923" s="11"/>
      <c r="C923" s="11"/>
      <c r="D923" s="11"/>
      <c r="E923" s="3">
        <f>IF(A923="","",COUNTIF('02_Guest_Database'!F2:F999,A923))</f>
      </c>
      <c r="F923" s="3">
        <f>IF(A923="","",MAX(0,D923-E923))</f>
      </c>
      <c r="G923" s="3">
        <f>IF(A923="","",IFERROR(E923/D923,0))</f>
      </c>
      <c r="H923" s="3">
        <f>IF(A923="","",IF(E923&gt;D923,"חריגת קיבולת",IF(E923=D923,"מלא","תקין")))</f>
      </c>
      <c r="I923" s="11"/>
      <c r="J923" s="11"/>
      <c r="K923" s="11"/>
      <c r="L923" s="11"/>
    </row>
    <row r="924" spans="1:12" x14ac:dyDescent="0.25">
      <c r="A924" s="11"/>
      <c r="B924" s="11"/>
      <c r="C924" s="11"/>
      <c r="D924" s="11"/>
      <c r="E924" s="3">
        <f>IF(A924="","",COUNTIF('02_Guest_Database'!F2:F999,A924))</f>
      </c>
      <c r="F924" s="3">
        <f>IF(A924="","",MAX(0,D924-E924))</f>
      </c>
      <c r="G924" s="3">
        <f>IF(A924="","",IFERROR(E924/D924,0))</f>
      </c>
      <c r="H924" s="3">
        <f>IF(A924="","",IF(E924&gt;D924,"חריגת קיבולת",IF(E924=D924,"מלא","תקין")))</f>
      </c>
      <c r="I924" s="11"/>
      <c r="J924" s="11"/>
      <c r="K924" s="11"/>
      <c r="L924" s="11"/>
    </row>
    <row r="925" spans="1:12" x14ac:dyDescent="0.25">
      <c r="A925" s="11"/>
      <c r="B925" s="11"/>
      <c r="C925" s="11"/>
      <c r="D925" s="11"/>
      <c r="E925" s="3">
        <f>IF(A925="","",COUNTIF('02_Guest_Database'!F2:F999,A925))</f>
      </c>
      <c r="F925" s="3">
        <f>IF(A925="","",MAX(0,D925-E925))</f>
      </c>
      <c r="G925" s="3">
        <f>IF(A925="","",IFERROR(E925/D925,0))</f>
      </c>
      <c r="H925" s="3">
        <f>IF(A925="","",IF(E925&gt;D925,"חריגת קיבולת",IF(E925=D925,"מלא","תקין")))</f>
      </c>
      <c r="I925" s="11"/>
      <c r="J925" s="11"/>
      <c r="K925" s="11"/>
      <c r="L925" s="11"/>
    </row>
    <row r="926" spans="1:12" x14ac:dyDescent="0.25">
      <c r="A926" s="11"/>
      <c r="B926" s="11"/>
      <c r="C926" s="11"/>
      <c r="D926" s="11"/>
      <c r="E926" s="3">
        <f>IF(A926="","",COUNTIF('02_Guest_Database'!F2:F999,A926))</f>
      </c>
      <c r="F926" s="3">
        <f>IF(A926="","",MAX(0,D926-E926))</f>
      </c>
      <c r="G926" s="3">
        <f>IF(A926="","",IFERROR(E926/D926,0))</f>
      </c>
      <c r="H926" s="3">
        <f>IF(A926="","",IF(E926&gt;D926,"חריגת קיבולת",IF(E926=D926,"מלא","תקין")))</f>
      </c>
      <c r="I926" s="11"/>
      <c r="J926" s="11"/>
      <c r="K926" s="11"/>
      <c r="L926" s="11"/>
    </row>
    <row r="927" spans="1:12" x14ac:dyDescent="0.25">
      <c r="A927" s="11"/>
      <c r="B927" s="11"/>
      <c r="C927" s="11"/>
      <c r="D927" s="11"/>
      <c r="E927" s="3">
        <f>IF(A927="","",COUNTIF('02_Guest_Database'!F2:F999,A927))</f>
      </c>
      <c r="F927" s="3">
        <f>IF(A927="","",MAX(0,D927-E927))</f>
      </c>
      <c r="G927" s="3">
        <f>IF(A927="","",IFERROR(E927/D927,0))</f>
      </c>
      <c r="H927" s="3">
        <f>IF(A927="","",IF(E927&gt;D927,"חריגת קיבולת",IF(E927=D927,"מלא","תקין")))</f>
      </c>
      <c r="I927" s="11"/>
      <c r="J927" s="11"/>
      <c r="K927" s="11"/>
      <c r="L927" s="11"/>
    </row>
    <row r="928" spans="1:12" x14ac:dyDescent="0.25">
      <c r="A928" s="11"/>
      <c r="B928" s="11"/>
      <c r="C928" s="11"/>
      <c r="D928" s="11"/>
      <c r="E928" s="3">
        <f>IF(A928="","",COUNTIF('02_Guest_Database'!F2:F999,A928))</f>
      </c>
      <c r="F928" s="3">
        <f>IF(A928="","",MAX(0,D928-E928))</f>
      </c>
      <c r="G928" s="3">
        <f>IF(A928="","",IFERROR(E928/D928,0))</f>
      </c>
      <c r="H928" s="3">
        <f>IF(A928="","",IF(E928&gt;D928,"חריגת קיבולת",IF(E928=D928,"מלא","תקין")))</f>
      </c>
      <c r="I928" s="11"/>
      <c r="J928" s="11"/>
      <c r="K928" s="11"/>
      <c r="L928" s="11"/>
    </row>
    <row r="929" spans="1:12" x14ac:dyDescent="0.25">
      <c r="A929" s="11"/>
      <c r="B929" s="11"/>
      <c r="C929" s="11"/>
      <c r="D929" s="11"/>
      <c r="E929" s="3">
        <f>IF(A929="","",COUNTIF('02_Guest_Database'!F2:F999,A929))</f>
      </c>
      <c r="F929" s="3">
        <f>IF(A929="","",MAX(0,D929-E929))</f>
      </c>
      <c r="G929" s="3">
        <f>IF(A929="","",IFERROR(E929/D929,0))</f>
      </c>
      <c r="H929" s="3">
        <f>IF(A929="","",IF(E929&gt;D929,"חריגת קיבולת",IF(E929=D929,"מלא","תקין")))</f>
      </c>
      <c r="I929" s="11"/>
      <c r="J929" s="11"/>
      <c r="K929" s="11"/>
      <c r="L929" s="11"/>
    </row>
    <row r="930" spans="1:12" x14ac:dyDescent="0.25">
      <c r="A930" s="11"/>
      <c r="B930" s="11"/>
      <c r="C930" s="11"/>
      <c r="D930" s="11"/>
      <c r="E930" s="3">
        <f>IF(A930="","",COUNTIF('02_Guest_Database'!F2:F999,A930))</f>
      </c>
      <c r="F930" s="3">
        <f>IF(A930="","",MAX(0,D930-E930))</f>
      </c>
      <c r="G930" s="3">
        <f>IF(A930="","",IFERROR(E930/D930,0))</f>
      </c>
      <c r="H930" s="3">
        <f>IF(A930="","",IF(E930&gt;D930,"חריגת קיבולת",IF(E930=D930,"מלא","תקין")))</f>
      </c>
      <c r="I930" s="11"/>
      <c r="J930" s="11"/>
      <c r="K930" s="11"/>
      <c r="L930" s="11"/>
    </row>
    <row r="931" spans="1:12" x14ac:dyDescent="0.25">
      <c r="A931" s="11"/>
      <c r="B931" s="11"/>
      <c r="C931" s="11"/>
      <c r="D931" s="11"/>
      <c r="E931" s="3">
        <f>IF(A931="","",COUNTIF('02_Guest_Database'!F2:F999,A931))</f>
      </c>
      <c r="F931" s="3">
        <f>IF(A931="","",MAX(0,D931-E931))</f>
      </c>
      <c r="G931" s="3">
        <f>IF(A931="","",IFERROR(E931/D931,0))</f>
      </c>
      <c r="H931" s="3">
        <f>IF(A931="","",IF(E931&gt;D931,"חריגת קיבולת",IF(E931=D931,"מלא","תקין")))</f>
      </c>
      <c r="I931" s="11"/>
      <c r="J931" s="11"/>
      <c r="K931" s="11"/>
      <c r="L931" s="11"/>
    </row>
    <row r="932" spans="1:12" x14ac:dyDescent="0.25">
      <c r="A932" s="11"/>
      <c r="B932" s="11"/>
      <c r="C932" s="11"/>
      <c r="D932" s="11"/>
      <c r="E932" s="3">
        <f>IF(A932="","",COUNTIF('02_Guest_Database'!F2:F999,A932))</f>
      </c>
      <c r="F932" s="3">
        <f>IF(A932="","",MAX(0,D932-E932))</f>
      </c>
      <c r="G932" s="3">
        <f>IF(A932="","",IFERROR(E932/D932,0))</f>
      </c>
      <c r="H932" s="3">
        <f>IF(A932="","",IF(E932&gt;D932,"חריגת קיבולת",IF(E932=D932,"מלא","תקין")))</f>
      </c>
      <c r="I932" s="11"/>
      <c r="J932" s="11"/>
      <c r="K932" s="11"/>
      <c r="L932" s="11"/>
    </row>
    <row r="933" spans="1:12" x14ac:dyDescent="0.25">
      <c r="A933" s="11"/>
      <c r="B933" s="11"/>
      <c r="C933" s="11"/>
      <c r="D933" s="11"/>
      <c r="E933" s="3">
        <f>IF(A933="","",COUNTIF('02_Guest_Database'!F2:F999,A933))</f>
      </c>
      <c r="F933" s="3">
        <f>IF(A933="","",MAX(0,D933-E933))</f>
      </c>
      <c r="G933" s="3">
        <f>IF(A933="","",IFERROR(E933/D933,0))</f>
      </c>
      <c r="H933" s="3">
        <f>IF(A933="","",IF(E933&gt;D933,"חריגת קיבולת",IF(E933=D933,"מלא","תקין")))</f>
      </c>
      <c r="I933" s="11"/>
      <c r="J933" s="11"/>
      <c r="K933" s="11"/>
      <c r="L933" s="11"/>
    </row>
    <row r="934" spans="1:12" x14ac:dyDescent="0.25">
      <c r="A934" s="11"/>
      <c r="B934" s="11"/>
      <c r="C934" s="11"/>
      <c r="D934" s="11"/>
      <c r="E934" s="3">
        <f>IF(A934="","",COUNTIF('02_Guest_Database'!F2:F999,A934))</f>
      </c>
      <c r="F934" s="3">
        <f>IF(A934="","",MAX(0,D934-E934))</f>
      </c>
      <c r="G934" s="3">
        <f>IF(A934="","",IFERROR(E934/D934,0))</f>
      </c>
      <c r="H934" s="3">
        <f>IF(A934="","",IF(E934&gt;D934,"חריגת קיבולת",IF(E934=D934,"מלא","תקין")))</f>
      </c>
      <c r="I934" s="11"/>
      <c r="J934" s="11"/>
      <c r="K934" s="11"/>
      <c r="L934" s="11"/>
    </row>
    <row r="935" spans="1:12" x14ac:dyDescent="0.25">
      <c r="A935" s="11"/>
      <c r="B935" s="11"/>
      <c r="C935" s="11"/>
      <c r="D935" s="11"/>
      <c r="E935" s="3">
        <f>IF(A935="","",COUNTIF('02_Guest_Database'!F2:F999,A935))</f>
      </c>
      <c r="F935" s="3">
        <f>IF(A935="","",MAX(0,D935-E935))</f>
      </c>
      <c r="G935" s="3">
        <f>IF(A935="","",IFERROR(E935/D935,0))</f>
      </c>
      <c r="H935" s="3">
        <f>IF(A935="","",IF(E935&gt;D935,"חריגת קיבולת",IF(E935=D935,"מלא","תקין")))</f>
      </c>
      <c r="I935" s="11"/>
      <c r="J935" s="11"/>
      <c r="K935" s="11"/>
      <c r="L935" s="11"/>
    </row>
    <row r="936" spans="1:12" x14ac:dyDescent="0.25">
      <c r="A936" s="11"/>
      <c r="B936" s="11"/>
      <c r="C936" s="11"/>
      <c r="D936" s="11"/>
      <c r="E936" s="3">
        <f>IF(A936="","",COUNTIF('02_Guest_Database'!F2:F999,A936))</f>
      </c>
      <c r="F936" s="3">
        <f>IF(A936="","",MAX(0,D936-E936))</f>
      </c>
      <c r="G936" s="3">
        <f>IF(A936="","",IFERROR(E936/D936,0))</f>
      </c>
      <c r="H936" s="3">
        <f>IF(A936="","",IF(E936&gt;D936,"חריגת קיבולת",IF(E936=D936,"מלא","תקין")))</f>
      </c>
      <c r="I936" s="11"/>
      <c r="J936" s="11"/>
      <c r="K936" s="11"/>
      <c r="L936" s="11"/>
    </row>
    <row r="937" spans="1:12" x14ac:dyDescent="0.25">
      <c r="A937" s="11"/>
      <c r="B937" s="11"/>
      <c r="C937" s="11"/>
      <c r="D937" s="11"/>
      <c r="E937" s="3">
        <f>IF(A937="","",COUNTIF('02_Guest_Database'!F2:F999,A937))</f>
      </c>
      <c r="F937" s="3">
        <f>IF(A937="","",MAX(0,D937-E937))</f>
      </c>
      <c r="G937" s="3">
        <f>IF(A937="","",IFERROR(E937/D937,0))</f>
      </c>
      <c r="H937" s="3">
        <f>IF(A937="","",IF(E937&gt;D937,"חריגת קיבולת",IF(E937=D937,"מלא","תקין")))</f>
      </c>
      <c r="I937" s="11"/>
      <c r="J937" s="11"/>
      <c r="K937" s="11"/>
      <c r="L937" s="11"/>
    </row>
    <row r="938" spans="1:12" x14ac:dyDescent="0.25">
      <c r="A938" s="11"/>
      <c r="B938" s="11"/>
      <c r="C938" s="11"/>
      <c r="D938" s="11"/>
      <c r="E938" s="3">
        <f>IF(A938="","",COUNTIF('02_Guest_Database'!F2:F999,A938))</f>
      </c>
      <c r="F938" s="3">
        <f>IF(A938="","",MAX(0,D938-E938))</f>
      </c>
      <c r="G938" s="3">
        <f>IF(A938="","",IFERROR(E938/D938,0))</f>
      </c>
      <c r="H938" s="3">
        <f>IF(A938="","",IF(E938&gt;D938,"חריגת קיבולת",IF(E938=D938,"מלא","תקין")))</f>
      </c>
      <c r="I938" s="11"/>
      <c r="J938" s="11"/>
      <c r="K938" s="11"/>
      <c r="L938" s="11"/>
    </row>
    <row r="939" spans="1:12" x14ac:dyDescent="0.25">
      <c r="A939" s="11"/>
      <c r="B939" s="11"/>
      <c r="C939" s="11"/>
      <c r="D939" s="11"/>
      <c r="E939" s="3">
        <f>IF(A939="","",COUNTIF('02_Guest_Database'!F2:F999,A939))</f>
      </c>
      <c r="F939" s="3">
        <f>IF(A939="","",MAX(0,D939-E939))</f>
      </c>
      <c r="G939" s="3">
        <f>IF(A939="","",IFERROR(E939/D939,0))</f>
      </c>
      <c r="H939" s="3">
        <f>IF(A939="","",IF(E939&gt;D939,"חריגת קיבולת",IF(E939=D939,"מלא","תקין")))</f>
      </c>
      <c r="I939" s="11"/>
      <c r="J939" s="11"/>
      <c r="K939" s="11"/>
      <c r="L939" s="11"/>
    </row>
    <row r="940" spans="1:12" x14ac:dyDescent="0.25">
      <c r="A940" s="11"/>
      <c r="B940" s="11"/>
      <c r="C940" s="11"/>
      <c r="D940" s="11"/>
      <c r="E940" s="3">
        <f>IF(A940="","",COUNTIF('02_Guest_Database'!F2:F999,A940))</f>
      </c>
      <c r="F940" s="3">
        <f>IF(A940="","",MAX(0,D940-E940))</f>
      </c>
      <c r="G940" s="3">
        <f>IF(A940="","",IFERROR(E940/D940,0))</f>
      </c>
      <c r="H940" s="3">
        <f>IF(A940="","",IF(E940&gt;D940,"חריגת קיבולת",IF(E940=D940,"מלא","תקין")))</f>
      </c>
      <c r="I940" s="11"/>
      <c r="J940" s="11"/>
      <c r="K940" s="11"/>
      <c r="L940" s="11"/>
    </row>
    <row r="941" spans="1:12" x14ac:dyDescent="0.25">
      <c r="A941" s="11"/>
      <c r="B941" s="11"/>
      <c r="C941" s="11"/>
      <c r="D941" s="11"/>
      <c r="E941" s="3">
        <f>IF(A941="","",COUNTIF('02_Guest_Database'!F2:F999,A941))</f>
      </c>
      <c r="F941" s="3">
        <f>IF(A941="","",MAX(0,D941-E941))</f>
      </c>
      <c r="G941" s="3">
        <f>IF(A941="","",IFERROR(E941/D941,0))</f>
      </c>
      <c r="H941" s="3">
        <f>IF(A941="","",IF(E941&gt;D941,"חריגת קיבולת",IF(E941=D941,"מלא","תקין")))</f>
      </c>
      <c r="I941" s="11"/>
      <c r="J941" s="11"/>
      <c r="K941" s="11"/>
      <c r="L941" s="11"/>
    </row>
    <row r="942" spans="1:12" x14ac:dyDescent="0.25">
      <c r="A942" s="11"/>
      <c r="B942" s="11"/>
      <c r="C942" s="11"/>
      <c r="D942" s="11"/>
      <c r="E942" s="3">
        <f>IF(A942="","",COUNTIF('02_Guest_Database'!F2:F999,A942))</f>
      </c>
      <c r="F942" s="3">
        <f>IF(A942="","",MAX(0,D942-E942))</f>
      </c>
      <c r="G942" s="3">
        <f>IF(A942="","",IFERROR(E942/D942,0))</f>
      </c>
      <c r="H942" s="3">
        <f>IF(A942="","",IF(E942&gt;D942,"חריגת קיבולת",IF(E942=D942,"מלא","תקין")))</f>
      </c>
      <c r="I942" s="11"/>
      <c r="J942" s="11"/>
      <c r="K942" s="11"/>
      <c r="L942" s="11"/>
    </row>
    <row r="943" spans="1:12" x14ac:dyDescent="0.25">
      <c r="A943" s="11"/>
      <c r="B943" s="11"/>
      <c r="C943" s="11"/>
      <c r="D943" s="11"/>
      <c r="E943" s="3">
        <f>IF(A943="","",COUNTIF('02_Guest_Database'!F2:F999,A943))</f>
      </c>
      <c r="F943" s="3">
        <f>IF(A943="","",MAX(0,D943-E943))</f>
      </c>
      <c r="G943" s="3">
        <f>IF(A943="","",IFERROR(E943/D943,0))</f>
      </c>
      <c r="H943" s="3">
        <f>IF(A943="","",IF(E943&gt;D943,"חריגת קיבולת",IF(E943=D943,"מלא","תקין")))</f>
      </c>
      <c r="I943" s="11"/>
      <c r="J943" s="11"/>
      <c r="K943" s="11"/>
      <c r="L943" s="11"/>
    </row>
    <row r="944" spans="1:12" x14ac:dyDescent="0.25">
      <c r="A944" s="11"/>
      <c r="B944" s="11"/>
      <c r="C944" s="11"/>
      <c r="D944" s="11"/>
      <c r="E944" s="3">
        <f>IF(A944="","",COUNTIF('02_Guest_Database'!F2:F999,A944))</f>
      </c>
      <c r="F944" s="3">
        <f>IF(A944="","",MAX(0,D944-E944))</f>
      </c>
      <c r="G944" s="3">
        <f>IF(A944="","",IFERROR(E944/D944,0))</f>
      </c>
      <c r="H944" s="3">
        <f>IF(A944="","",IF(E944&gt;D944,"חריגת קיבולת",IF(E944=D944,"מלא","תקין")))</f>
      </c>
      <c r="I944" s="11"/>
      <c r="J944" s="11"/>
      <c r="K944" s="11"/>
      <c r="L944" s="11"/>
    </row>
    <row r="945" spans="1:12" x14ac:dyDescent="0.25">
      <c r="A945" s="11"/>
      <c r="B945" s="11"/>
      <c r="C945" s="11"/>
      <c r="D945" s="11"/>
      <c r="E945" s="3">
        <f>IF(A945="","",COUNTIF('02_Guest_Database'!F2:F999,A945))</f>
      </c>
      <c r="F945" s="3">
        <f>IF(A945="","",MAX(0,D945-E945))</f>
      </c>
      <c r="G945" s="3">
        <f>IF(A945="","",IFERROR(E945/D945,0))</f>
      </c>
      <c r="H945" s="3">
        <f>IF(A945="","",IF(E945&gt;D945,"חריגת קיבולת",IF(E945=D945,"מלא","תקין")))</f>
      </c>
      <c r="I945" s="11"/>
      <c r="J945" s="11"/>
      <c r="K945" s="11"/>
      <c r="L945" s="11"/>
    </row>
    <row r="946" spans="1:12" x14ac:dyDescent="0.25">
      <c r="A946" s="11"/>
      <c r="B946" s="11"/>
      <c r="C946" s="11"/>
      <c r="D946" s="11"/>
      <c r="E946" s="3">
        <f>IF(A946="","",COUNTIF('02_Guest_Database'!F2:F999,A946))</f>
      </c>
      <c r="F946" s="3">
        <f>IF(A946="","",MAX(0,D946-E946))</f>
      </c>
      <c r="G946" s="3">
        <f>IF(A946="","",IFERROR(E946/D946,0))</f>
      </c>
      <c r="H946" s="3">
        <f>IF(A946="","",IF(E946&gt;D946,"חריגת קיבולת",IF(E946=D946,"מלא","תקין")))</f>
      </c>
      <c r="I946" s="11"/>
      <c r="J946" s="11"/>
      <c r="K946" s="11"/>
      <c r="L946" s="11"/>
    </row>
    <row r="947" spans="1:12" x14ac:dyDescent="0.25">
      <c r="A947" s="11"/>
      <c r="B947" s="11"/>
      <c r="C947" s="11"/>
      <c r="D947" s="11"/>
      <c r="E947" s="3">
        <f>IF(A947="","",COUNTIF('02_Guest_Database'!F2:F999,A947))</f>
      </c>
      <c r="F947" s="3">
        <f>IF(A947="","",MAX(0,D947-E947))</f>
      </c>
      <c r="G947" s="3">
        <f>IF(A947="","",IFERROR(E947/D947,0))</f>
      </c>
      <c r="H947" s="3">
        <f>IF(A947="","",IF(E947&gt;D947,"חריגת קיבולת",IF(E947=D947,"מלא","תקין")))</f>
      </c>
      <c r="I947" s="11"/>
      <c r="J947" s="11"/>
      <c r="K947" s="11"/>
      <c r="L947" s="11"/>
    </row>
    <row r="948" spans="1:12" x14ac:dyDescent="0.25">
      <c r="A948" s="11"/>
      <c r="B948" s="11"/>
      <c r="C948" s="11"/>
      <c r="D948" s="11"/>
      <c r="E948" s="3">
        <f>IF(A948="","",COUNTIF('02_Guest_Database'!F2:F999,A948))</f>
      </c>
      <c r="F948" s="3">
        <f>IF(A948="","",MAX(0,D948-E948))</f>
      </c>
      <c r="G948" s="3">
        <f>IF(A948="","",IFERROR(E948/D948,0))</f>
      </c>
      <c r="H948" s="3">
        <f>IF(A948="","",IF(E948&gt;D948,"חריגת קיבולת",IF(E948=D948,"מלא","תקין")))</f>
      </c>
      <c r="I948" s="11"/>
      <c r="J948" s="11"/>
      <c r="K948" s="11"/>
      <c r="L948" s="11"/>
    </row>
    <row r="949" spans="1:12" x14ac:dyDescent="0.25">
      <c r="A949" s="11"/>
      <c r="B949" s="11"/>
      <c r="C949" s="11"/>
      <c r="D949" s="11"/>
      <c r="E949" s="3">
        <f>IF(A949="","",COUNTIF('02_Guest_Database'!F2:F999,A949))</f>
      </c>
      <c r="F949" s="3">
        <f>IF(A949="","",MAX(0,D949-E949))</f>
      </c>
      <c r="G949" s="3">
        <f>IF(A949="","",IFERROR(E949/D949,0))</f>
      </c>
      <c r="H949" s="3">
        <f>IF(A949="","",IF(E949&gt;D949,"חריגת קיבולת",IF(E949=D949,"מלא","תקין")))</f>
      </c>
      <c r="I949" s="11"/>
      <c r="J949" s="11"/>
      <c r="K949" s="11"/>
      <c r="L949" s="11"/>
    </row>
    <row r="950" spans="1:12" x14ac:dyDescent="0.25">
      <c r="A950" s="11"/>
      <c r="B950" s="11"/>
      <c r="C950" s="11"/>
      <c r="D950" s="11"/>
      <c r="E950" s="3">
        <f>IF(A950="","",COUNTIF('02_Guest_Database'!F2:F999,A950))</f>
      </c>
      <c r="F950" s="3">
        <f>IF(A950="","",MAX(0,D950-E950))</f>
      </c>
      <c r="G950" s="3">
        <f>IF(A950="","",IFERROR(E950/D950,0))</f>
      </c>
      <c r="H950" s="3">
        <f>IF(A950="","",IF(E950&gt;D950,"חריגת קיבולת",IF(E950=D950,"מלא","תקין")))</f>
      </c>
      <c r="I950" s="11"/>
      <c r="J950" s="11"/>
      <c r="K950" s="11"/>
      <c r="L950" s="11"/>
    </row>
    <row r="951" spans="1:12" x14ac:dyDescent="0.25">
      <c r="A951" s="11"/>
      <c r="B951" s="11"/>
      <c r="C951" s="11"/>
      <c r="D951" s="11"/>
      <c r="E951" s="3">
        <f>IF(A951="","",COUNTIF('02_Guest_Database'!F2:F999,A951))</f>
      </c>
      <c r="F951" s="3">
        <f>IF(A951="","",MAX(0,D951-E951))</f>
      </c>
      <c r="G951" s="3">
        <f>IF(A951="","",IFERROR(E951/D951,0))</f>
      </c>
      <c r="H951" s="3">
        <f>IF(A951="","",IF(E951&gt;D951,"חריגת קיבולת",IF(E951=D951,"מלא","תקין")))</f>
      </c>
      <c r="I951" s="11"/>
      <c r="J951" s="11"/>
      <c r="K951" s="11"/>
      <c r="L951" s="11"/>
    </row>
    <row r="952" spans="1:12" x14ac:dyDescent="0.25">
      <c r="A952" s="11"/>
      <c r="B952" s="11"/>
      <c r="C952" s="11"/>
      <c r="D952" s="11"/>
      <c r="E952" s="3">
        <f>IF(A952="","",COUNTIF('02_Guest_Database'!F2:F999,A952))</f>
      </c>
      <c r="F952" s="3">
        <f>IF(A952="","",MAX(0,D952-E952))</f>
      </c>
      <c r="G952" s="3">
        <f>IF(A952="","",IFERROR(E952/D952,0))</f>
      </c>
      <c r="H952" s="3">
        <f>IF(A952="","",IF(E952&gt;D952,"חריגת קיבולת",IF(E952=D952,"מלא","תקין")))</f>
      </c>
      <c r="I952" s="11"/>
      <c r="J952" s="11"/>
      <c r="K952" s="11"/>
      <c r="L952" s="11"/>
    </row>
    <row r="953" spans="1:12" x14ac:dyDescent="0.25">
      <c r="A953" s="11"/>
      <c r="B953" s="11"/>
      <c r="C953" s="11"/>
      <c r="D953" s="11"/>
      <c r="E953" s="3">
        <f>IF(A953="","",COUNTIF('02_Guest_Database'!F2:F999,A953))</f>
      </c>
      <c r="F953" s="3">
        <f>IF(A953="","",MAX(0,D953-E953))</f>
      </c>
      <c r="G953" s="3">
        <f>IF(A953="","",IFERROR(E953/D953,0))</f>
      </c>
      <c r="H953" s="3">
        <f>IF(A953="","",IF(E953&gt;D953,"חריגת קיבולת",IF(E953=D953,"מלא","תקין")))</f>
      </c>
      <c r="I953" s="11"/>
      <c r="J953" s="11"/>
      <c r="K953" s="11"/>
      <c r="L953" s="11"/>
    </row>
    <row r="954" spans="1:12" x14ac:dyDescent="0.25">
      <c r="A954" s="11"/>
      <c r="B954" s="11"/>
      <c r="C954" s="11"/>
      <c r="D954" s="11"/>
      <c r="E954" s="3">
        <f>IF(A954="","",COUNTIF('02_Guest_Database'!F2:F999,A954))</f>
      </c>
      <c r="F954" s="3">
        <f>IF(A954="","",MAX(0,D954-E954))</f>
      </c>
      <c r="G954" s="3">
        <f>IF(A954="","",IFERROR(E954/D954,0))</f>
      </c>
      <c r="H954" s="3">
        <f>IF(A954="","",IF(E954&gt;D954,"חריגת קיבולת",IF(E954=D954,"מלא","תקין")))</f>
      </c>
      <c r="I954" s="11"/>
      <c r="J954" s="11"/>
      <c r="K954" s="11"/>
      <c r="L954" s="11"/>
    </row>
    <row r="955" spans="1:12" x14ac:dyDescent="0.25">
      <c r="A955" s="11"/>
      <c r="B955" s="11"/>
      <c r="C955" s="11"/>
      <c r="D955" s="11"/>
      <c r="E955" s="3">
        <f>IF(A955="","",COUNTIF('02_Guest_Database'!F2:F999,A955))</f>
      </c>
      <c r="F955" s="3">
        <f>IF(A955="","",MAX(0,D955-E955))</f>
      </c>
      <c r="G955" s="3">
        <f>IF(A955="","",IFERROR(E955/D955,0))</f>
      </c>
      <c r="H955" s="3">
        <f>IF(A955="","",IF(E955&gt;D955,"חריגת קיבולת",IF(E955=D955,"מלא","תקין")))</f>
      </c>
      <c r="I955" s="11"/>
      <c r="J955" s="11"/>
      <c r="K955" s="11"/>
      <c r="L955" s="11"/>
    </row>
    <row r="956" spans="1:12" x14ac:dyDescent="0.25">
      <c r="A956" s="11"/>
      <c r="B956" s="11"/>
      <c r="C956" s="11"/>
      <c r="D956" s="11"/>
      <c r="E956" s="3">
        <f>IF(A956="","",COUNTIF('02_Guest_Database'!F2:F999,A956))</f>
      </c>
      <c r="F956" s="3">
        <f>IF(A956="","",MAX(0,D956-E956))</f>
      </c>
      <c r="G956" s="3">
        <f>IF(A956="","",IFERROR(E956/D956,0))</f>
      </c>
      <c r="H956" s="3">
        <f>IF(A956="","",IF(E956&gt;D956,"חריגת קיבולת",IF(E956=D956,"מלא","תקין")))</f>
      </c>
      <c r="I956" s="11"/>
      <c r="J956" s="11"/>
      <c r="K956" s="11"/>
      <c r="L956" s="11"/>
    </row>
    <row r="957" spans="1:12" x14ac:dyDescent="0.25">
      <c r="A957" s="11"/>
      <c r="B957" s="11"/>
      <c r="C957" s="11"/>
      <c r="D957" s="11"/>
      <c r="E957" s="3">
        <f>IF(A957="","",COUNTIF('02_Guest_Database'!F2:F999,A957))</f>
      </c>
      <c r="F957" s="3">
        <f>IF(A957="","",MAX(0,D957-E957))</f>
      </c>
      <c r="G957" s="3">
        <f>IF(A957="","",IFERROR(E957/D957,0))</f>
      </c>
      <c r="H957" s="3">
        <f>IF(A957="","",IF(E957&gt;D957,"חריגת קיבולת",IF(E957=D957,"מלא","תקין")))</f>
      </c>
      <c r="I957" s="11"/>
      <c r="J957" s="11"/>
      <c r="K957" s="11"/>
      <c r="L957" s="11"/>
    </row>
    <row r="958" spans="1:12" x14ac:dyDescent="0.25">
      <c r="A958" s="11"/>
      <c r="B958" s="11"/>
      <c r="C958" s="11"/>
      <c r="D958" s="11"/>
      <c r="E958" s="3">
        <f>IF(A958="","",COUNTIF('02_Guest_Database'!F2:F999,A958))</f>
      </c>
      <c r="F958" s="3">
        <f>IF(A958="","",MAX(0,D958-E958))</f>
      </c>
      <c r="G958" s="3">
        <f>IF(A958="","",IFERROR(E958/D958,0))</f>
      </c>
      <c r="H958" s="3">
        <f>IF(A958="","",IF(E958&gt;D958,"חריגת קיבולת",IF(E958=D958,"מלא","תקין")))</f>
      </c>
      <c r="I958" s="11"/>
      <c r="J958" s="11"/>
      <c r="K958" s="11"/>
      <c r="L958" s="11"/>
    </row>
    <row r="959" spans="1:12" x14ac:dyDescent="0.25">
      <c r="A959" s="11"/>
      <c r="B959" s="11"/>
      <c r="C959" s="11"/>
      <c r="D959" s="11"/>
      <c r="E959" s="3">
        <f>IF(A959="","",COUNTIF('02_Guest_Database'!F2:F999,A959))</f>
      </c>
      <c r="F959" s="3">
        <f>IF(A959="","",MAX(0,D959-E959))</f>
      </c>
      <c r="G959" s="3">
        <f>IF(A959="","",IFERROR(E959/D959,0))</f>
      </c>
      <c r="H959" s="3">
        <f>IF(A959="","",IF(E959&gt;D959,"חריגת קיבולת",IF(E959=D959,"מלא","תקין")))</f>
      </c>
      <c r="I959" s="11"/>
      <c r="J959" s="11"/>
      <c r="K959" s="11"/>
      <c r="L959" s="11"/>
    </row>
    <row r="960" spans="1:12" x14ac:dyDescent="0.25">
      <c r="A960" s="11"/>
      <c r="B960" s="11"/>
      <c r="C960" s="11"/>
      <c r="D960" s="11"/>
      <c r="E960" s="3">
        <f>IF(A960="","",COUNTIF('02_Guest_Database'!F2:F999,A960))</f>
      </c>
      <c r="F960" s="3">
        <f>IF(A960="","",MAX(0,D960-E960))</f>
      </c>
      <c r="G960" s="3">
        <f>IF(A960="","",IFERROR(E960/D960,0))</f>
      </c>
      <c r="H960" s="3">
        <f>IF(A960="","",IF(E960&gt;D960,"חריגת קיבולת",IF(E960=D960,"מלא","תקין")))</f>
      </c>
      <c r="I960" s="11"/>
      <c r="J960" s="11"/>
      <c r="K960" s="11"/>
      <c r="L960" s="11"/>
    </row>
    <row r="961" spans="1:12" x14ac:dyDescent="0.25">
      <c r="A961" s="11"/>
      <c r="B961" s="11"/>
      <c r="C961" s="11"/>
      <c r="D961" s="11"/>
      <c r="E961" s="3">
        <f>IF(A961="","",COUNTIF('02_Guest_Database'!F2:F999,A961))</f>
      </c>
      <c r="F961" s="3">
        <f>IF(A961="","",MAX(0,D961-E961))</f>
      </c>
      <c r="G961" s="3">
        <f>IF(A961="","",IFERROR(E961/D961,0))</f>
      </c>
      <c r="H961" s="3">
        <f>IF(A961="","",IF(E961&gt;D961,"חריגת קיבולת",IF(E961=D961,"מלא","תקין")))</f>
      </c>
      <c r="I961" s="11"/>
      <c r="J961" s="11"/>
      <c r="K961" s="11"/>
      <c r="L961" s="11"/>
    </row>
    <row r="962" spans="1:12" x14ac:dyDescent="0.25">
      <c r="A962" s="11"/>
      <c r="B962" s="11"/>
      <c r="C962" s="11"/>
      <c r="D962" s="11"/>
      <c r="E962" s="3">
        <f>IF(A962="","",COUNTIF('02_Guest_Database'!F2:F999,A962))</f>
      </c>
      <c r="F962" s="3">
        <f>IF(A962="","",MAX(0,D962-E962))</f>
      </c>
      <c r="G962" s="3">
        <f>IF(A962="","",IFERROR(E962/D962,0))</f>
      </c>
      <c r="H962" s="3">
        <f>IF(A962="","",IF(E962&gt;D962,"חריגת קיבולת",IF(E962=D962,"מלא","תקין")))</f>
      </c>
      <c r="I962" s="11"/>
      <c r="J962" s="11"/>
      <c r="K962" s="11"/>
      <c r="L962" s="11"/>
    </row>
    <row r="963" spans="1:12" x14ac:dyDescent="0.25">
      <c r="A963" s="11"/>
      <c r="B963" s="11"/>
      <c r="C963" s="11"/>
      <c r="D963" s="11"/>
      <c r="E963" s="3">
        <f>IF(A963="","",COUNTIF('02_Guest_Database'!F2:F999,A963))</f>
      </c>
      <c r="F963" s="3">
        <f>IF(A963="","",MAX(0,D963-E963))</f>
      </c>
      <c r="G963" s="3">
        <f>IF(A963="","",IFERROR(E963/D963,0))</f>
      </c>
      <c r="H963" s="3">
        <f>IF(A963="","",IF(E963&gt;D963,"חריגת קיבולת",IF(E963=D963,"מלא","תקין")))</f>
      </c>
      <c r="I963" s="11"/>
      <c r="J963" s="11"/>
      <c r="K963" s="11"/>
      <c r="L963" s="11"/>
    </row>
    <row r="964" spans="1:12" x14ac:dyDescent="0.25">
      <c r="A964" s="11"/>
      <c r="B964" s="11"/>
      <c r="C964" s="11"/>
      <c r="D964" s="11"/>
      <c r="E964" s="3">
        <f>IF(A964="","",COUNTIF('02_Guest_Database'!F2:F999,A964))</f>
      </c>
      <c r="F964" s="3">
        <f>IF(A964="","",MAX(0,D964-E964))</f>
      </c>
      <c r="G964" s="3">
        <f>IF(A964="","",IFERROR(E964/D964,0))</f>
      </c>
      <c r="H964" s="3">
        <f>IF(A964="","",IF(E964&gt;D964,"חריגת קיבולת",IF(E964=D964,"מלא","תקין")))</f>
      </c>
      <c r="I964" s="11"/>
      <c r="J964" s="11"/>
      <c r="K964" s="11"/>
      <c r="L964" s="11"/>
    </row>
    <row r="965" spans="1:12" x14ac:dyDescent="0.25">
      <c r="A965" s="11"/>
      <c r="B965" s="11"/>
      <c r="C965" s="11"/>
      <c r="D965" s="11"/>
      <c r="E965" s="3">
        <f>IF(A965="","",COUNTIF('02_Guest_Database'!F2:F999,A965))</f>
      </c>
      <c r="F965" s="3">
        <f>IF(A965="","",MAX(0,D965-E965))</f>
      </c>
      <c r="G965" s="3">
        <f>IF(A965="","",IFERROR(E965/D965,0))</f>
      </c>
      <c r="H965" s="3">
        <f>IF(A965="","",IF(E965&gt;D965,"חריגת קיבולת",IF(E965=D965,"מלא","תקין")))</f>
      </c>
      <c r="I965" s="11"/>
      <c r="J965" s="11"/>
      <c r="K965" s="11"/>
      <c r="L965" s="11"/>
    </row>
    <row r="966" spans="1:12" x14ac:dyDescent="0.25">
      <c r="A966" s="11"/>
      <c r="B966" s="11"/>
      <c r="C966" s="11"/>
      <c r="D966" s="11"/>
      <c r="E966" s="3">
        <f>IF(A966="","",COUNTIF('02_Guest_Database'!F2:F999,A966))</f>
      </c>
      <c r="F966" s="3">
        <f>IF(A966="","",MAX(0,D966-E966))</f>
      </c>
      <c r="G966" s="3">
        <f>IF(A966="","",IFERROR(E966/D966,0))</f>
      </c>
      <c r="H966" s="3">
        <f>IF(A966="","",IF(E966&gt;D966,"חריגת קיבולת",IF(E966=D966,"מלא","תקין")))</f>
      </c>
      <c r="I966" s="11"/>
      <c r="J966" s="11"/>
      <c r="K966" s="11"/>
      <c r="L966" s="11"/>
    </row>
    <row r="967" spans="1:12" x14ac:dyDescent="0.25">
      <c r="A967" s="11"/>
      <c r="B967" s="11"/>
      <c r="C967" s="11"/>
      <c r="D967" s="11"/>
      <c r="E967" s="3">
        <f>IF(A967="","",COUNTIF('02_Guest_Database'!F2:F999,A967))</f>
      </c>
      <c r="F967" s="3">
        <f>IF(A967="","",MAX(0,D967-E967))</f>
      </c>
      <c r="G967" s="3">
        <f>IF(A967="","",IFERROR(E967/D967,0))</f>
      </c>
      <c r="H967" s="3">
        <f>IF(A967="","",IF(E967&gt;D967,"חריגת קיבולת",IF(E967=D967,"מלא","תקין")))</f>
      </c>
      <c r="I967" s="11"/>
      <c r="J967" s="11"/>
      <c r="K967" s="11"/>
      <c r="L967" s="11"/>
    </row>
    <row r="968" spans="1:12" x14ac:dyDescent="0.25">
      <c r="A968" s="11"/>
      <c r="B968" s="11"/>
      <c r="C968" s="11"/>
      <c r="D968" s="11"/>
      <c r="E968" s="3">
        <f>IF(A968="","",COUNTIF('02_Guest_Database'!F2:F999,A968))</f>
      </c>
      <c r="F968" s="3">
        <f>IF(A968="","",MAX(0,D968-E968))</f>
      </c>
      <c r="G968" s="3">
        <f>IF(A968="","",IFERROR(E968/D968,0))</f>
      </c>
      <c r="H968" s="3">
        <f>IF(A968="","",IF(E968&gt;D968,"חריגת קיבולת",IF(E968=D968,"מלא","תקין")))</f>
      </c>
      <c r="I968" s="11"/>
      <c r="J968" s="11"/>
      <c r="K968" s="11"/>
      <c r="L968" s="11"/>
    </row>
    <row r="969" spans="1:12" x14ac:dyDescent="0.25">
      <c r="A969" s="11"/>
      <c r="B969" s="11"/>
      <c r="C969" s="11"/>
      <c r="D969" s="11"/>
      <c r="E969" s="3">
        <f>IF(A969="","",COUNTIF('02_Guest_Database'!F2:F999,A969))</f>
      </c>
      <c r="F969" s="3">
        <f>IF(A969="","",MAX(0,D969-E969))</f>
      </c>
      <c r="G969" s="3">
        <f>IF(A969="","",IFERROR(E969/D969,0))</f>
      </c>
      <c r="H969" s="3">
        <f>IF(A969="","",IF(E969&gt;D969,"חריגת קיבולת",IF(E969=D969,"מלא","תקין")))</f>
      </c>
      <c r="I969" s="11"/>
      <c r="J969" s="11"/>
      <c r="K969" s="11"/>
      <c r="L969" s="11"/>
    </row>
    <row r="970" spans="1:12" x14ac:dyDescent="0.25">
      <c r="A970" s="11"/>
      <c r="B970" s="11"/>
      <c r="C970" s="11"/>
      <c r="D970" s="11"/>
      <c r="E970" s="3">
        <f>IF(A970="","",COUNTIF('02_Guest_Database'!F2:F999,A970))</f>
      </c>
      <c r="F970" s="3">
        <f>IF(A970="","",MAX(0,D970-E970))</f>
      </c>
      <c r="G970" s="3">
        <f>IF(A970="","",IFERROR(E970/D970,0))</f>
      </c>
      <c r="H970" s="3">
        <f>IF(A970="","",IF(E970&gt;D970,"חריגת קיבולת",IF(E970=D970,"מלא","תקין")))</f>
      </c>
      <c r="I970" s="11"/>
      <c r="J970" s="11"/>
      <c r="K970" s="11"/>
      <c r="L970" s="11"/>
    </row>
    <row r="971" spans="1:12" x14ac:dyDescent="0.25">
      <c r="A971" s="11"/>
      <c r="B971" s="11"/>
      <c r="C971" s="11"/>
      <c r="D971" s="11"/>
      <c r="E971" s="3">
        <f>IF(A971="","",COUNTIF('02_Guest_Database'!F2:F999,A971))</f>
      </c>
      <c r="F971" s="3">
        <f>IF(A971="","",MAX(0,D971-E971))</f>
      </c>
      <c r="G971" s="3">
        <f>IF(A971="","",IFERROR(E971/D971,0))</f>
      </c>
      <c r="H971" s="3">
        <f>IF(A971="","",IF(E971&gt;D971,"חריגת קיבולת",IF(E971=D971,"מלא","תקין")))</f>
      </c>
      <c r="I971" s="11"/>
      <c r="J971" s="11"/>
      <c r="K971" s="11"/>
      <c r="L971" s="11"/>
    </row>
    <row r="972" spans="1:12" x14ac:dyDescent="0.25">
      <c r="A972" s="11"/>
      <c r="B972" s="11"/>
      <c r="C972" s="11"/>
      <c r="D972" s="11"/>
      <c r="E972" s="3">
        <f>IF(A972="","",COUNTIF('02_Guest_Database'!F2:F999,A972))</f>
      </c>
      <c r="F972" s="3">
        <f>IF(A972="","",MAX(0,D972-E972))</f>
      </c>
      <c r="G972" s="3">
        <f>IF(A972="","",IFERROR(E972/D972,0))</f>
      </c>
      <c r="H972" s="3">
        <f>IF(A972="","",IF(E972&gt;D972,"חריגת קיבולת",IF(E972=D972,"מלא","תקין")))</f>
      </c>
      <c r="I972" s="11"/>
      <c r="J972" s="11"/>
      <c r="K972" s="11"/>
      <c r="L972" s="11"/>
    </row>
    <row r="973" spans="1:12" x14ac:dyDescent="0.25">
      <c r="A973" s="11"/>
      <c r="B973" s="11"/>
      <c r="C973" s="11"/>
      <c r="D973" s="11"/>
      <c r="E973" s="3">
        <f>IF(A973="","",COUNTIF('02_Guest_Database'!F2:F999,A973))</f>
      </c>
      <c r="F973" s="3">
        <f>IF(A973="","",MAX(0,D973-E973))</f>
      </c>
      <c r="G973" s="3">
        <f>IF(A973="","",IFERROR(E973/D973,0))</f>
      </c>
      <c r="H973" s="3">
        <f>IF(A973="","",IF(E973&gt;D973,"חריגת קיבולת",IF(E973=D973,"מלא","תקין")))</f>
      </c>
      <c r="I973" s="11"/>
      <c r="J973" s="11"/>
      <c r="K973" s="11"/>
      <c r="L973" s="11"/>
    </row>
    <row r="974" spans="1:12" x14ac:dyDescent="0.25">
      <c r="A974" s="11"/>
      <c r="B974" s="11"/>
      <c r="C974" s="11"/>
      <c r="D974" s="11"/>
      <c r="E974" s="3">
        <f>IF(A974="","",COUNTIF('02_Guest_Database'!F2:F999,A974))</f>
      </c>
      <c r="F974" s="3">
        <f>IF(A974="","",MAX(0,D974-E974))</f>
      </c>
      <c r="G974" s="3">
        <f>IF(A974="","",IFERROR(E974/D974,0))</f>
      </c>
      <c r="H974" s="3">
        <f>IF(A974="","",IF(E974&gt;D974,"חריגת קיבולת",IF(E974=D974,"מלא","תקין")))</f>
      </c>
      <c r="I974" s="11"/>
      <c r="J974" s="11"/>
      <c r="K974" s="11"/>
      <c r="L974" s="11"/>
    </row>
    <row r="975" spans="1:12" x14ac:dyDescent="0.25">
      <c r="A975" s="11"/>
      <c r="B975" s="11"/>
      <c r="C975" s="11"/>
      <c r="D975" s="11"/>
      <c r="E975" s="3">
        <f>IF(A975="","",COUNTIF('02_Guest_Database'!F2:F999,A975))</f>
      </c>
      <c r="F975" s="3">
        <f>IF(A975="","",MAX(0,D975-E975))</f>
      </c>
      <c r="G975" s="3">
        <f>IF(A975="","",IFERROR(E975/D975,0))</f>
      </c>
      <c r="H975" s="3">
        <f>IF(A975="","",IF(E975&gt;D975,"חריגת קיבולת",IF(E975=D975,"מלא","תקין")))</f>
      </c>
      <c r="I975" s="11"/>
      <c r="J975" s="11"/>
      <c r="K975" s="11"/>
      <c r="L975" s="11"/>
    </row>
    <row r="976" spans="1:12" x14ac:dyDescent="0.25">
      <c r="A976" s="11"/>
      <c r="B976" s="11"/>
      <c r="C976" s="11"/>
      <c r="D976" s="11"/>
      <c r="E976" s="3">
        <f>IF(A976="","",COUNTIF('02_Guest_Database'!F2:F999,A976))</f>
      </c>
      <c r="F976" s="3">
        <f>IF(A976="","",MAX(0,D976-E976))</f>
      </c>
      <c r="G976" s="3">
        <f>IF(A976="","",IFERROR(E976/D976,0))</f>
      </c>
      <c r="H976" s="3">
        <f>IF(A976="","",IF(E976&gt;D976,"חריגת קיבולת",IF(E976=D976,"מלא","תקין")))</f>
      </c>
      <c r="I976" s="11"/>
      <c r="J976" s="11"/>
      <c r="K976" s="11"/>
      <c r="L976" s="11"/>
    </row>
    <row r="977" spans="1:12" x14ac:dyDescent="0.25">
      <c r="A977" s="11"/>
      <c r="B977" s="11"/>
      <c r="C977" s="11"/>
      <c r="D977" s="11"/>
      <c r="E977" s="3">
        <f>IF(A977="","",COUNTIF('02_Guest_Database'!F2:F999,A977))</f>
      </c>
      <c r="F977" s="3">
        <f>IF(A977="","",MAX(0,D977-E977))</f>
      </c>
      <c r="G977" s="3">
        <f>IF(A977="","",IFERROR(E977/D977,0))</f>
      </c>
      <c r="H977" s="3">
        <f>IF(A977="","",IF(E977&gt;D977,"חריגת קיבולת",IF(E977=D977,"מלא","תקין")))</f>
      </c>
      <c r="I977" s="11"/>
      <c r="J977" s="11"/>
      <c r="K977" s="11"/>
      <c r="L977" s="11"/>
    </row>
    <row r="978" spans="1:12" x14ac:dyDescent="0.25">
      <c r="A978" s="11"/>
      <c r="B978" s="11"/>
      <c r="C978" s="11"/>
      <c r="D978" s="11"/>
      <c r="E978" s="3">
        <f>IF(A978="","",COUNTIF('02_Guest_Database'!F2:F999,A978))</f>
      </c>
      <c r="F978" s="3">
        <f>IF(A978="","",MAX(0,D978-E978))</f>
      </c>
      <c r="G978" s="3">
        <f>IF(A978="","",IFERROR(E978/D978,0))</f>
      </c>
      <c r="H978" s="3">
        <f>IF(A978="","",IF(E978&gt;D978,"חריגת קיבולת",IF(E978=D978,"מלא","תקין")))</f>
      </c>
      <c r="I978" s="11"/>
      <c r="J978" s="11"/>
      <c r="K978" s="11"/>
      <c r="L978" s="11"/>
    </row>
    <row r="979" spans="1:12" x14ac:dyDescent="0.25">
      <c r="A979" s="11"/>
      <c r="B979" s="11"/>
      <c r="C979" s="11"/>
      <c r="D979" s="11"/>
      <c r="E979" s="3">
        <f>IF(A979="","",COUNTIF('02_Guest_Database'!F2:F999,A979))</f>
      </c>
      <c r="F979" s="3">
        <f>IF(A979="","",MAX(0,D979-E979))</f>
      </c>
      <c r="G979" s="3">
        <f>IF(A979="","",IFERROR(E979/D979,0))</f>
      </c>
      <c r="H979" s="3">
        <f>IF(A979="","",IF(E979&gt;D979,"חריגת קיבולת",IF(E979=D979,"מלא","תקין")))</f>
      </c>
      <c r="I979" s="11"/>
      <c r="J979" s="11"/>
      <c r="K979" s="11"/>
      <c r="L979" s="11"/>
    </row>
    <row r="980" spans="1:12" x14ac:dyDescent="0.25">
      <c r="A980" s="11"/>
      <c r="B980" s="11"/>
      <c r="C980" s="11"/>
      <c r="D980" s="11"/>
      <c r="E980" s="3">
        <f>IF(A980="","",COUNTIF('02_Guest_Database'!F2:F999,A980))</f>
      </c>
      <c r="F980" s="3">
        <f>IF(A980="","",MAX(0,D980-E980))</f>
      </c>
      <c r="G980" s="3">
        <f>IF(A980="","",IFERROR(E980/D980,0))</f>
      </c>
      <c r="H980" s="3">
        <f>IF(A980="","",IF(E980&gt;D980,"חריגת קיבולת",IF(E980=D980,"מלא","תקין")))</f>
      </c>
      <c r="I980" s="11"/>
      <c r="J980" s="11"/>
      <c r="K980" s="11"/>
      <c r="L980" s="11"/>
    </row>
    <row r="981" spans="1:12" x14ac:dyDescent="0.25">
      <c r="A981" s="11"/>
      <c r="B981" s="11"/>
      <c r="C981" s="11"/>
      <c r="D981" s="11"/>
      <c r="E981" s="3">
        <f>IF(A981="","",COUNTIF('02_Guest_Database'!F2:F999,A981))</f>
      </c>
      <c r="F981" s="3">
        <f>IF(A981="","",MAX(0,D981-E981))</f>
      </c>
      <c r="G981" s="3">
        <f>IF(A981="","",IFERROR(E981/D981,0))</f>
      </c>
      <c r="H981" s="3">
        <f>IF(A981="","",IF(E981&gt;D981,"חריגת קיבולת",IF(E981=D981,"מלא","תקין")))</f>
      </c>
      <c r="I981" s="11"/>
      <c r="J981" s="11"/>
      <c r="K981" s="11"/>
      <c r="L981" s="11"/>
    </row>
    <row r="982" spans="1:12" x14ac:dyDescent="0.25">
      <c r="A982" s="11"/>
      <c r="B982" s="11"/>
      <c r="C982" s="11"/>
      <c r="D982" s="11"/>
      <c r="E982" s="3">
        <f>IF(A982="","",COUNTIF('02_Guest_Database'!F2:F999,A982))</f>
      </c>
      <c r="F982" s="3">
        <f>IF(A982="","",MAX(0,D982-E982))</f>
      </c>
      <c r="G982" s="3">
        <f>IF(A982="","",IFERROR(E982/D982,0))</f>
      </c>
      <c r="H982" s="3">
        <f>IF(A982="","",IF(E982&gt;D982,"חריגת קיבולת",IF(E982=D982,"מלא","תקין")))</f>
      </c>
      <c r="I982" s="11"/>
      <c r="J982" s="11"/>
      <c r="K982" s="11"/>
      <c r="L982" s="11"/>
    </row>
    <row r="983" spans="1:12" x14ac:dyDescent="0.25">
      <c r="A983" s="11"/>
      <c r="B983" s="11"/>
      <c r="C983" s="11"/>
      <c r="D983" s="11"/>
      <c r="E983" s="3">
        <f>IF(A983="","",COUNTIF('02_Guest_Database'!F2:F999,A983))</f>
      </c>
      <c r="F983" s="3">
        <f>IF(A983="","",MAX(0,D983-E983))</f>
      </c>
      <c r="G983" s="3">
        <f>IF(A983="","",IFERROR(E983/D983,0))</f>
      </c>
      <c r="H983" s="3">
        <f>IF(A983="","",IF(E983&gt;D983,"חריגת קיבולת",IF(E983=D983,"מלא","תקין")))</f>
      </c>
      <c r="I983" s="11"/>
      <c r="J983" s="11"/>
      <c r="K983" s="11"/>
      <c r="L983" s="11"/>
    </row>
    <row r="984" spans="1:12" x14ac:dyDescent="0.25">
      <c r="A984" s="11"/>
      <c r="B984" s="11"/>
      <c r="C984" s="11"/>
      <c r="D984" s="11"/>
      <c r="E984" s="3">
        <f>IF(A984="","",COUNTIF('02_Guest_Database'!F2:F999,A984))</f>
      </c>
      <c r="F984" s="3">
        <f>IF(A984="","",MAX(0,D984-E984))</f>
      </c>
      <c r="G984" s="3">
        <f>IF(A984="","",IFERROR(E984/D984,0))</f>
      </c>
      <c r="H984" s="3">
        <f>IF(A984="","",IF(E984&gt;D984,"חריגת קיבולת",IF(E984=D984,"מלא","תקין")))</f>
      </c>
      <c r="I984" s="11"/>
      <c r="J984" s="11"/>
      <c r="K984" s="11"/>
      <c r="L984" s="11"/>
    </row>
    <row r="985" spans="1:12" x14ac:dyDescent="0.25">
      <c r="A985" s="11"/>
      <c r="B985" s="11"/>
      <c r="C985" s="11"/>
      <c r="D985" s="11"/>
      <c r="E985" s="3">
        <f>IF(A985="","",COUNTIF('02_Guest_Database'!F2:F999,A985))</f>
      </c>
      <c r="F985" s="3">
        <f>IF(A985="","",MAX(0,D985-E985))</f>
      </c>
      <c r="G985" s="3">
        <f>IF(A985="","",IFERROR(E985/D985,0))</f>
      </c>
      <c r="H985" s="3">
        <f>IF(A985="","",IF(E985&gt;D985,"חריגת קיבולת",IF(E985=D985,"מלא","תקין")))</f>
      </c>
      <c r="I985" s="11"/>
      <c r="J985" s="11"/>
      <c r="K985" s="11"/>
      <c r="L985" s="11"/>
    </row>
    <row r="986" spans="1:12" x14ac:dyDescent="0.25">
      <c r="A986" s="11"/>
      <c r="B986" s="11"/>
      <c r="C986" s="11"/>
      <c r="D986" s="11"/>
      <c r="E986" s="3">
        <f>IF(A986="","",COUNTIF('02_Guest_Database'!F2:F999,A986))</f>
      </c>
      <c r="F986" s="3">
        <f>IF(A986="","",MAX(0,D986-E986))</f>
      </c>
      <c r="G986" s="3">
        <f>IF(A986="","",IFERROR(E986/D986,0))</f>
      </c>
      <c r="H986" s="3">
        <f>IF(A986="","",IF(E986&gt;D986,"חריגת קיבולת",IF(E986=D986,"מלא","תקין")))</f>
      </c>
      <c r="I986" s="11"/>
      <c r="J986" s="11"/>
      <c r="K986" s="11"/>
      <c r="L986" s="11"/>
    </row>
    <row r="987" spans="1:12" x14ac:dyDescent="0.25">
      <c r="A987" s="11"/>
      <c r="B987" s="11"/>
      <c r="C987" s="11"/>
      <c r="D987" s="11"/>
      <c r="E987" s="3">
        <f>IF(A987="","",COUNTIF('02_Guest_Database'!F2:F999,A987))</f>
      </c>
      <c r="F987" s="3">
        <f>IF(A987="","",MAX(0,D987-E987))</f>
      </c>
      <c r="G987" s="3">
        <f>IF(A987="","",IFERROR(E987/D987,0))</f>
      </c>
      <c r="H987" s="3">
        <f>IF(A987="","",IF(E987&gt;D987,"חריגת קיבולת",IF(E987=D987,"מלא","תקין")))</f>
      </c>
      <c r="I987" s="11"/>
      <c r="J987" s="11"/>
      <c r="K987" s="11"/>
      <c r="L987" s="11"/>
    </row>
    <row r="988" spans="1:12" x14ac:dyDescent="0.25">
      <c r="A988" s="11"/>
      <c r="B988" s="11"/>
      <c r="C988" s="11"/>
      <c r="D988" s="11"/>
      <c r="E988" s="3">
        <f>IF(A988="","",COUNTIF('02_Guest_Database'!F2:F999,A988))</f>
      </c>
      <c r="F988" s="3">
        <f>IF(A988="","",MAX(0,D988-E988))</f>
      </c>
      <c r="G988" s="3">
        <f>IF(A988="","",IFERROR(E988/D988,0))</f>
      </c>
      <c r="H988" s="3">
        <f>IF(A988="","",IF(E988&gt;D988,"חריגת קיבולת",IF(E988=D988,"מלא","תקין")))</f>
      </c>
      <c r="I988" s="11"/>
      <c r="J988" s="11"/>
      <c r="K988" s="11"/>
      <c r="L988" s="11"/>
    </row>
    <row r="989" spans="1:12" x14ac:dyDescent="0.25">
      <c r="A989" s="11"/>
      <c r="B989" s="11"/>
      <c r="C989" s="11"/>
      <c r="D989" s="11"/>
      <c r="E989" s="3">
        <f>IF(A989="","",COUNTIF('02_Guest_Database'!F2:F999,A989))</f>
      </c>
      <c r="F989" s="3">
        <f>IF(A989="","",MAX(0,D989-E989))</f>
      </c>
      <c r="G989" s="3">
        <f>IF(A989="","",IFERROR(E989/D989,0))</f>
      </c>
      <c r="H989" s="3">
        <f>IF(A989="","",IF(E989&gt;D989,"חריגת קיבולת",IF(E989=D989,"מלא","תקין")))</f>
      </c>
      <c r="I989" s="11"/>
      <c r="J989" s="11"/>
      <c r="K989" s="11"/>
      <c r="L989" s="11"/>
    </row>
    <row r="990" spans="1:12" x14ac:dyDescent="0.25">
      <c r="A990" s="11"/>
      <c r="B990" s="11"/>
      <c r="C990" s="11"/>
      <c r="D990" s="11"/>
      <c r="E990" s="3">
        <f>IF(A990="","",COUNTIF('02_Guest_Database'!F2:F999,A990))</f>
      </c>
      <c r="F990" s="3">
        <f>IF(A990="","",MAX(0,D990-E990))</f>
      </c>
      <c r="G990" s="3">
        <f>IF(A990="","",IFERROR(E990/D990,0))</f>
      </c>
      <c r="H990" s="3">
        <f>IF(A990="","",IF(E990&gt;D990,"חריגת קיבולת",IF(E990=D990,"מלא","תקין")))</f>
      </c>
      <c r="I990" s="11"/>
      <c r="J990" s="11"/>
      <c r="K990" s="11"/>
      <c r="L990" s="11"/>
    </row>
    <row r="991" spans="1:12" x14ac:dyDescent="0.25">
      <c r="A991" s="11"/>
      <c r="B991" s="11"/>
      <c r="C991" s="11"/>
      <c r="D991" s="11"/>
      <c r="E991" s="3">
        <f>IF(A991="","",COUNTIF('02_Guest_Database'!F2:F999,A991))</f>
      </c>
      <c r="F991" s="3">
        <f>IF(A991="","",MAX(0,D991-E991))</f>
      </c>
      <c r="G991" s="3">
        <f>IF(A991="","",IFERROR(E991/D991,0))</f>
      </c>
      <c r="H991" s="3">
        <f>IF(A991="","",IF(E991&gt;D991,"חריגת קיבולת",IF(E991=D991,"מלא","תקין")))</f>
      </c>
      <c r="I991" s="11"/>
      <c r="J991" s="11"/>
      <c r="K991" s="11"/>
      <c r="L991" s="11"/>
    </row>
    <row r="992" spans="1:12" x14ac:dyDescent="0.25">
      <c r="A992" s="11"/>
      <c r="B992" s="11"/>
      <c r="C992" s="11"/>
      <c r="D992" s="11"/>
      <c r="E992" s="3">
        <f>IF(A992="","",COUNTIF('02_Guest_Database'!F2:F999,A992))</f>
      </c>
      <c r="F992" s="3">
        <f>IF(A992="","",MAX(0,D992-E992))</f>
      </c>
      <c r="G992" s="3">
        <f>IF(A992="","",IFERROR(E992/D992,0))</f>
      </c>
      <c r="H992" s="3">
        <f>IF(A992="","",IF(E992&gt;D992,"חריגת קיבולת",IF(E992=D992,"מלא","תקין")))</f>
      </c>
      <c r="I992" s="11"/>
      <c r="J992" s="11"/>
      <c r="K992" s="11"/>
      <c r="L992" s="11"/>
    </row>
    <row r="993" spans="1:12" x14ac:dyDescent="0.25">
      <c r="A993" s="11"/>
      <c r="B993" s="11"/>
      <c r="C993" s="11"/>
      <c r="D993" s="11"/>
      <c r="E993" s="3">
        <f>IF(A993="","",COUNTIF('02_Guest_Database'!F2:F999,A993))</f>
      </c>
      <c r="F993" s="3">
        <f>IF(A993="","",MAX(0,D993-E993))</f>
      </c>
      <c r="G993" s="3">
        <f>IF(A993="","",IFERROR(E993/D993,0))</f>
      </c>
      <c r="H993" s="3">
        <f>IF(A993="","",IF(E993&gt;D993,"חריגת קיבולת",IF(E993=D993,"מלא","תקין")))</f>
      </c>
      <c r="I993" s="11"/>
      <c r="J993" s="11"/>
      <c r="K993" s="11"/>
      <c r="L993" s="11"/>
    </row>
    <row r="994" spans="1:12" x14ac:dyDescent="0.25">
      <c r="A994" s="11"/>
      <c r="B994" s="11"/>
      <c r="C994" s="11"/>
      <c r="D994" s="11"/>
      <c r="E994" s="3">
        <f>IF(A994="","",COUNTIF('02_Guest_Database'!F2:F999,A994))</f>
      </c>
      <c r="F994" s="3">
        <f>IF(A994="","",MAX(0,D994-E994))</f>
      </c>
      <c r="G994" s="3">
        <f>IF(A994="","",IFERROR(E994/D994,0))</f>
      </c>
      <c r="H994" s="3">
        <f>IF(A994="","",IF(E994&gt;D994,"חריגת קיבולת",IF(E994=D994,"מלא","תקין")))</f>
      </c>
      <c r="I994" s="11"/>
      <c r="J994" s="11"/>
      <c r="K994" s="11"/>
      <c r="L994" s="11"/>
    </row>
    <row r="995" spans="1:12" x14ac:dyDescent="0.25">
      <c r="A995" s="11"/>
      <c r="B995" s="11"/>
      <c r="C995" s="11"/>
      <c r="D995" s="11"/>
      <c r="E995" s="3">
        <f>IF(A995="","",COUNTIF('02_Guest_Database'!F2:F999,A995))</f>
      </c>
      <c r="F995" s="3">
        <f>IF(A995="","",MAX(0,D995-E995))</f>
      </c>
      <c r="G995" s="3">
        <f>IF(A995="","",IFERROR(E995/D995,0))</f>
      </c>
      <c r="H995" s="3">
        <f>IF(A995="","",IF(E995&gt;D995,"חריגת קיבולת",IF(E995=D995,"מלא","תקין")))</f>
      </c>
      <c r="I995" s="11"/>
      <c r="J995" s="11"/>
      <c r="K995" s="11"/>
      <c r="L995" s="11"/>
    </row>
    <row r="996" spans="1:12" x14ac:dyDescent="0.25">
      <c r="A996" s="11"/>
      <c r="B996" s="11"/>
      <c r="C996" s="11"/>
      <c r="D996" s="11"/>
      <c r="E996" s="3">
        <f>IF(A996="","",COUNTIF('02_Guest_Database'!F2:F999,A996))</f>
      </c>
      <c r="F996" s="3">
        <f>IF(A996="","",MAX(0,D996-E996))</f>
      </c>
      <c r="G996" s="3">
        <f>IF(A996="","",IFERROR(E996/D996,0))</f>
      </c>
      <c r="H996" s="3">
        <f>IF(A996="","",IF(E996&gt;D996,"חריגת קיבולת",IF(E996=D996,"מלא","תקין")))</f>
      </c>
      <c r="I996" s="11"/>
      <c r="J996" s="11"/>
      <c r="K996" s="11"/>
      <c r="L996" s="11"/>
    </row>
    <row r="997" spans="1:12" x14ac:dyDescent="0.25">
      <c r="A997" s="11"/>
      <c r="B997" s="11"/>
      <c r="C997" s="11"/>
      <c r="D997" s="11"/>
      <c r="E997" s="3">
        <f>IF(A997="","",COUNTIF('02_Guest_Database'!F2:F999,A997))</f>
      </c>
      <c r="F997" s="3">
        <f>IF(A997="","",MAX(0,D997-E997))</f>
      </c>
      <c r="G997" s="3">
        <f>IF(A997="","",IFERROR(E997/D997,0))</f>
      </c>
      <c r="H997" s="3">
        <f>IF(A997="","",IF(E997&gt;D997,"חריגת קיבולת",IF(E997=D997,"מלא","תקין")))</f>
      </c>
      <c r="I997" s="11"/>
      <c r="J997" s="11"/>
      <c r="K997" s="11"/>
      <c r="L997" s="11"/>
    </row>
    <row r="998" spans="1:12" x14ac:dyDescent="0.25">
      <c r="A998" s="11"/>
      <c r="B998" s="11"/>
      <c r="C998" s="11"/>
      <c r="D998" s="11"/>
      <c r="E998" s="3">
        <f>IF(A998="","",COUNTIF('02_Guest_Database'!F2:F999,A998))</f>
      </c>
      <c r="F998" s="3">
        <f>IF(A998="","",MAX(0,D998-E998))</f>
      </c>
      <c r="G998" s="3">
        <f>IF(A998="","",IFERROR(E998/D998,0))</f>
      </c>
      <c r="H998" s="3">
        <f>IF(A998="","",IF(E998&gt;D998,"חריגת קיבולת",IF(E998=D998,"מלא","תקין")))</f>
      </c>
      <c r="I998" s="11"/>
      <c r="J998" s="11"/>
      <c r="K998" s="11"/>
      <c r="L998" s="11"/>
    </row>
    <row r="999" spans="1:12" x14ac:dyDescent="0.25">
      <c r="A999" s="11"/>
      <c r="B999" s="11"/>
      <c r="C999" s="11"/>
      <c r="D999" s="11"/>
      <c r="E999" s="3">
        <f>IF(A999="","",COUNTIF('02_Guest_Database'!F2:F999,A999))</f>
      </c>
      <c r="F999" s="3">
        <f>IF(A999="","",MAX(0,D999-E999))</f>
      </c>
      <c r="G999" s="3">
        <f>IF(A999="","",IFERROR(E999/D999,0))</f>
      </c>
      <c r="H999" s="3">
        <f>IF(A999="","",IF(E999&gt;D999,"חריגת קיבולת",IF(E999=D999,"מלא","תקין")))</f>
      </c>
      <c r="I999" s="11"/>
      <c r="J999" s="11"/>
      <c r="K999" s="11"/>
      <c r="L999" s="11"/>
    </row>
  </sheetData>
  <sheetProtection sheet="1" formatColumns="0" formatRows="0" sort="0" autoFilter="0" algorithmName="SHA-512" hashValue="zpPkLPwPJis8AKvQGq40TOjrnKEZc7Stp8r+kOv4bjZMIndh/jXS7TB0XxCN4htE1YYc+406NTpFPt4+arOEpQ==" saltValue="cl0E5tkH7ecZ1FIKptJQ5w==" spinCount="100000"/>
  <autoFilter ref="A1:L1"/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2" customWidth="1"/>
  </cols>
  <sheetData>
    <row r="1" ht="24" customHeight="1" spans="1:2" x14ac:dyDescent="0.25">
      <c r="A1" s="9" t="s">
        <v>154</v>
      </c>
      <c r="B1" s="9" t="s">
        <v>1</v>
      </c>
    </row>
    <row r="2" spans="1:2" x14ac:dyDescent="0.25">
      <c r="A2" s="2" t="s">
        <v>155</v>
      </c>
      <c r="B2" s="2" t="s">
        <v>12</v>
      </c>
    </row>
    <row r="3" spans="1:2" x14ac:dyDescent="0.25">
      <c r="A3" s="2" t="s">
        <v>9</v>
      </c>
      <c r="B3" s="2" t="s">
        <v>10</v>
      </c>
    </row>
    <row r="4" spans="1:2" x14ac:dyDescent="0.25">
      <c r="A4" s="2" t="s">
        <v>156</v>
      </c>
      <c r="B4" s="2">
        <v>250</v>
      </c>
    </row>
    <row r="5" spans="1:2" x14ac:dyDescent="0.25">
      <c r="A5" s="2" t="s">
        <v>157</v>
      </c>
      <c r="B5" s="2">
        <v>3</v>
      </c>
    </row>
    <row r="6" spans="1:2" x14ac:dyDescent="0.25">
      <c r="A6" s="2" t="s">
        <v>70</v>
      </c>
      <c r="B6" s="2" t="s">
        <v>158</v>
      </c>
    </row>
  </sheetData>
  <sheetProtection sheet="1" formatColumns="0" formatRows="0" sort="0" autoFilter="0" algorithmName="SHA-512" hashValue="yJkOTDf1QuTetsQy3+69FTUEDf7eYlKM0IdqmwNmVxTPe8kIPaCqMMELUkGikkwFqKJewflmado3c9jn1gXZiA==" saltValue="QhOBak8BPr5+b/hAw/kZGw==" spinCount="100000"/>
  <autoFilter ref="A1:B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9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2" customWidth="1"/>
    <col min="3" max="3" width="24" customWidth="1"/>
    <col min="4" max="5" width="14" customWidth="1"/>
    <col min="6" max="6" width="32" customWidth="1"/>
    <col min="7" max="7" width="15" customWidth="1"/>
    <col min="8" max="8" width="38" customWidth="1"/>
    <col min="9" max="10" width="37" customWidth="1"/>
    <col min="12" max="12" width="28" customWidth="1"/>
    <col min="13" max="13" width="56" customWidth="1"/>
  </cols>
  <sheetData>
    <row r="1" ht="24" customHeight="1" spans="1:13" x14ac:dyDescent="0.25">
      <c r="A1" s="9" t="s">
        <v>110</v>
      </c>
      <c r="B1" s="9" t="s">
        <v>1</v>
      </c>
      <c r="C1" s="9" t="s">
        <v>2</v>
      </c>
      <c r="L1" s="9" t="s">
        <v>74</v>
      </c>
      <c r="M1" s="9" t="s">
        <v>159</v>
      </c>
    </row>
    <row r="2" spans="1:13" x14ac:dyDescent="0.25">
      <c r="A2" s="2" t="s">
        <v>36</v>
      </c>
      <c r="B2" s="3">
        <f>COUNTIF(B11:B999,"&lt;&gt;")</f>
      </c>
      <c r="C2" s="2" t="s">
        <v>37</v>
      </c>
      <c r="L2" s="10" t="s">
        <v>160</v>
      </c>
      <c r="M2" s="8" t="s">
        <v>160</v>
      </c>
    </row>
    <row r="3" spans="1:3" x14ac:dyDescent="0.25">
      <c r="A3" s="2" t="s">
        <v>161</v>
      </c>
      <c r="B3" s="3">
        <f>SUMPRODUCT(--(B11:B999&lt;&gt;""),--(C11:C999=""))</f>
      </c>
      <c r="C3" s="2" t="s">
        <v>162</v>
      </c>
    </row>
    <row r="4" spans="1:3" x14ac:dyDescent="0.25">
      <c r="A4" s="4" t="s">
        <v>163</v>
      </c>
      <c r="B4" s="5">
        <f>SUMPRODUCT(--(B11:B999&lt;&gt;""),--(D11:D999=0))</f>
      </c>
      <c r="C4" s="4" t="s">
        <v>162</v>
      </c>
    </row>
    <row r="5" spans="1:3" x14ac:dyDescent="0.25">
      <c r="A5" s="2" t="s">
        <v>164</v>
      </c>
      <c r="B5" s="3">
        <f>SUMPRODUCT(--(B11:B999&lt;&gt;""),--(F11:F999&gt;0))</f>
      </c>
      <c r="C5" s="2" t="s">
        <v>165</v>
      </c>
    </row>
    <row r="6" spans="1:3" x14ac:dyDescent="0.25">
      <c r="A6" s="4" t="s">
        <v>166</v>
      </c>
      <c r="B6" s="5">
        <f>SUM(D11:D999)</f>
      </c>
      <c r="C6" s="4" t="s">
        <v>37</v>
      </c>
    </row>
    <row r="7" spans="1:3" x14ac:dyDescent="0.25">
      <c r="A7" s="4" t="s">
        <v>167</v>
      </c>
      <c r="B7" s="5">
        <f>SUM(E11:E999)</f>
      </c>
      <c r="C7" s="4" t="s">
        <v>168</v>
      </c>
    </row>
    <row r="8" spans="1:3" x14ac:dyDescent="0.25">
      <c r="A8" s="4" t="s">
        <v>169</v>
      </c>
      <c r="B8" s="5">
        <f>SUM(F11:F999)</f>
      </c>
      <c r="C8" s="4" t="s">
        <v>168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10" x14ac:dyDescent="0.25">
      <c r="A10" s="2" t="s">
        <v>170</v>
      </c>
      <c r="B10" s="2" t="s">
        <v>171</v>
      </c>
      <c r="C10" s="2" t="s">
        <v>172</v>
      </c>
      <c r="D10" s="2" t="s">
        <v>173</v>
      </c>
      <c r="E10" s="2" t="s">
        <v>40</v>
      </c>
      <c r="F10" s="2" t="s">
        <v>174</v>
      </c>
      <c r="G10" s="2" t="s">
        <v>105</v>
      </c>
      <c r="H10" s="2" t="s">
        <v>161</v>
      </c>
      <c r="I10" s="2" t="s">
        <v>163</v>
      </c>
      <c r="J10" s="2" t="s">
        <v>175</v>
      </c>
    </row>
    <row r="11" spans="1:10" x14ac:dyDescent="0.25">
      <c r="A11" s="2" t="s">
        <v>176</v>
      </c>
      <c r="B11" s="2" t="s">
        <v>177</v>
      </c>
      <c r="C11" s="2" t="s">
        <v>178</v>
      </c>
      <c r="D11" s="2">
        <v>42000</v>
      </c>
      <c r="E11" s="2">
        <v>12000</v>
      </c>
      <c r="F11" s="3">
        <f>IF(B11="","",MAX(0,D11-E11))</f>
      </c>
      <c r="G11" s="2" t="s">
        <v>179</v>
      </c>
      <c r="H11" s="3">
        <f>IF(B11="","",IF(C11="","כן","לא"))</f>
      </c>
      <c r="I11" s="3">
        <f>IF(B11="","",IF(D11=0,"כן","לא"))</f>
      </c>
      <c r="J11" s="3">
        <f>IF(B11="","",IF(F11&gt;0,"כן","לא"))</f>
      </c>
    </row>
    <row r="12" spans="1:10" x14ac:dyDescent="0.25">
      <c r="A12" s="2" t="s">
        <v>180</v>
      </c>
      <c r="B12" s="2" t="s">
        <v>181</v>
      </c>
      <c r="C12" s="2" t="s">
        <v>50</v>
      </c>
      <c r="D12" s="2">
        <v>11000</v>
      </c>
      <c r="E12" s="2">
        <v>4000</v>
      </c>
      <c r="F12" s="3">
        <f>IF(B12="","",MAX(0,D12-E12))</f>
      </c>
      <c r="G12" s="2" t="s">
        <v>179</v>
      </c>
      <c r="H12" s="3">
        <f>IF(B12="","",IF(C12="","כן","לא"))</f>
      </c>
      <c r="I12" s="3">
        <f>IF(B12="","",IF(D12=0,"כן","לא"))</f>
      </c>
      <c r="J12" s="3">
        <f>IF(B12="","",IF(F12&gt;0,"כן","לא"))</f>
      </c>
    </row>
    <row r="13" spans="1:10" x14ac:dyDescent="0.25">
      <c r="A13" s="2" t="s">
        <v>182</v>
      </c>
      <c r="B13" s="2" t="s">
        <v>183</v>
      </c>
      <c r="C13" s="2" t="s">
        <v>184</v>
      </c>
      <c r="D13" s="2">
        <v>18000</v>
      </c>
      <c r="E13" s="2">
        <v>0</v>
      </c>
      <c r="F13" s="3">
        <f>IF(B13="","",MAX(0,D13-E13))</f>
      </c>
      <c r="G13" s="2" t="s">
        <v>185</v>
      </c>
      <c r="H13" s="3">
        <f>IF(B13="","",IF(C13="","כן","לא"))</f>
      </c>
      <c r="I13" s="3">
        <f>IF(B13="","",IF(D13=0,"כן","לא"))</f>
      </c>
      <c r="J13" s="3">
        <f>IF(B13="","",IF(F13&gt;0,"כן","לא"))</f>
      </c>
    </row>
    <row r="14" spans="1:10" x14ac:dyDescent="0.25">
      <c r="A14" s="11"/>
      <c r="B14" s="11"/>
      <c r="C14" s="11"/>
      <c r="D14" s="11"/>
      <c r="E14" s="11"/>
      <c r="F14" s="3">
        <f>IF(B14="","",MAX(0,D14-E14))</f>
      </c>
      <c r="G14" s="11"/>
      <c r="H14" s="3">
        <f>IF(B14="","",IF(C14="","כן","לא"))</f>
      </c>
      <c r="I14" s="3">
        <f>IF(B14="","",IF(D14=0,"כן","לא"))</f>
      </c>
      <c r="J14" s="3">
        <f>IF(B14="","",IF(F14&gt;0,"כן","לא"))</f>
      </c>
    </row>
    <row r="15" spans="1:10" x14ac:dyDescent="0.25">
      <c r="A15" s="11"/>
      <c r="B15" s="11"/>
      <c r="C15" s="11"/>
      <c r="D15" s="11"/>
      <c r="E15" s="11"/>
      <c r="F15" s="3">
        <f>IF(B15="","",MAX(0,D15-E15))</f>
      </c>
      <c r="G15" s="11"/>
      <c r="H15" s="3">
        <f>IF(B15="","",IF(C15="","כן","לא"))</f>
      </c>
      <c r="I15" s="3">
        <f>IF(B15="","",IF(D15=0,"כן","לא"))</f>
      </c>
      <c r="J15" s="3">
        <f>IF(B15="","",IF(F15&gt;0,"כן","לא"))</f>
      </c>
    </row>
    <row r="16" spans="1:10" x14ac:dyDescent="0.25">
      <c r="A16" s="11"/>
      <c r="B16" s="11"/>
      <c r="C16" s="11"/>
      <c r="D16" s="11"/>
      <c r="E16" s="11"/>
      <c r="F16" s="3">
        <f>IF(B16="","",MAX(0,D16-E16))</f>
      </c>
      <c r="G16" s="11"/>
      <c r="H16" s="3">
        <f>IF(B16="","",IF(C16="","כן","לא"))</f>
      </c>
      <c r="I16" s="3">
        <f>IF(B16="","",IF(D16=0,"כן","לא"))</f>
      </c>
      <c r="J16" s="3">
        <f>IF(B16="","",IF(F16&gt;0,"כן","לא"))</f>
      </c>
    </row>
    <row r="17" spans="1:10" x14ac:dyDescent="0.25">
      <c r="A17" s="11"/>
      <c r="B17" s="11"/>
      <c r="C17" s="11"/>
      <c r="D17" s="11"/>
      <c r="E17" s="11"/>
      <c r="F17" s="3">
        <f>IF(B17="","",MAX(0,D17-E17))</f>
      </c>
      <c r="G17" s="11"/>
      <c r="H17" s="3">
        <f>IF(B17="","",IF(C17="","כן","לא"))</f>
      </c>
      <c r="I17" s="3">
        <f>IF(B17="","",IF(D17=0,"כן","לא"))</f>
      </c>
      <c r="J17" s="3">
        <f>IF(B17="","",IF(F17&gt;0,"כן","לא"))</f>
      </c>
    </row>
    <row r="18" spans="1:10" x14ac:dyDescent="0.25">
      <c r="A18" s="11"/>
      <c r="B18" s="11"/>
      <c r="C18" s="11"/>
      <c r="D18" s="11"/>
      <c r="E18" s="11"/>
      <c r="F18" s="3">
        <f>IF(B18="","",MAX(0,D18-E18))</f>
      </c>
      <c r="G18" s="11"/>
      <c r="H18" s="3">
        <f>IF(B18="","",IF(C18="","כן","לא"))</f>
      </c>
      <c r="I18" s="3">
        <f>IF(B18="","",IF(D18=0,"כן","לא"))</f>
      </c>
      <c r="J18" s="3">
        <f>IF(B18="","",IF(F18&gt;0,"כן","לא"))</f>
      </c>
    </row>
    <row r="19" spans="1:10" x14ac:dyDescent="0.25">
      <c r="A19" s="11"/>
      <c r="B19" s="11"/>
      <c r="C19" s="11"/>
      <c r="D19" s="11"/>
      <c r="E19" s="11"/>
      <c r="F19" s="3">
        <f>IF(B19="","",MAX(0,D19-E19))</f>
      </c>
      <c r="G19" s="11"/>
      <c r="H19" s="3">
        <f>IF(B19="","",IF(C19="","כן","לא"))</f>
      </c>
      <c r="I19" s="3">
        <f>IF(B19="","",IF(D19=0,"כן","לא"))</f>
      </c>
      <c r="J19" s="3">
        <f>IF(B19="","",IF(F19&gt;0,"כן","לא"))</f>
      </c>
    </row>
    <row r="20" spans="1:10" x14ac:dyDescent="0.25">
      <c r="A20" s="11"/>
      <c r="B20" s="11"/>
      <c r="C20" s="11"/>
      <c r="D20" s="11"/>
      <c r="E20" s="11"/>
      <c r="F20" s="3">
        <f>IF(B20="","",MAX(0,D20-E20))</f>
      </c>
      <c r="G20" s="11"/>
      <c r="H20" s="3">
        <f>IF(B20="","",IF(C20="","כן","לא"))</f>
      </c>
      <c r="I20" s="3">
        <f>IF(B20="","",IF(D20=0,"כן","לא"))</f>
      </c>
      <c r="J20" s="3">
        <f>IF(B20="","",IF(F20&gt;0,"כן","לא"))</f>
      </c>
    </row>
    <row r="21" spans="1:10" x14ac:dyDescent="0.25">
      <c r="A21" s="11"/>
      <c r="B21" s="11"/>
      <c r="C21" s="11"/>
      <c r="D21" s="11"/>
      <c r="E21" s="11"/>
      <c r="F21" s="3">
        <f>IF(B21="","",MAX(0,D21-E21))</f>
      </c>
      <c r="G21" s="11"/>
      <c r="H21" s="3">
        <f>IF(B21="","",IF(C21="","כן","לא"))</f>
      </c>
      <c r="I21" s="3">
        <f>IF(B21="","",IF(D21=0,"כן","לא"))</f>
      </c>
      <c r="J21" s="3">
        <f>IF(B21="","",IF(F21&gt;0,"כן","לא"))</f>
      </c>
    </row>
    <row r="22" spans="1:10" x14ac:dyDescent="0.25">
      <c r="A22" s="11"/>
      <c r="B22" s="11"/>
      <c r="C22" s="11"/>
      <c r="D22" s="11"/>
      <c r="E22" s="11"/>
      <c r="F22" s="3">
        <f>IF(B22="","",MAX(0,D22-E22))</f>
      </c>
      <c r="G22" s="11"/>
      <c r="H22" s="3">
        <f>IF(B22="","",IF(C22="","כן","לא"))</f>
      </c>
      <c r="I22" s="3">
        <f>IF(B22="","",IF(D22=0,"כן","לא"))</f>
      </c>
      <c r="J22" s="3">
        <f>IF(B22="","",IF(F22&gt;0,"כן","לא"))</f>
      </c>
    </row>
    <row r="23" spans="1:10" x14ac:dyDescent="0.25">
      <c r="A23" s="11"/>
      <c r="B23" s="11"/>
      <c r="C23" s="11"/>
      <c r="D23" s="11"/>
      <c r="E23" s="11"/>
      <c r="F23" s="3">
        <f>IF(B23="","",MAX(0,D23-E23))</f>
      </c>
      <c r="G23" s="11"/>
      <c r="H23" s="3">
        <f>IF(B23="","",IF(C23="","כן","לא"))</f>
      </c>
      <c r="I23" s="3">
        <f>IF(B23="","",IF(D23=0,"כן","לא"))</f>
      </c>
      <c r="J23" s="3">
        <f>IF(B23="","",IF(F23&gt;0,"כן","לא"))</f>
      </c>
    </row>
    <row r="24" spans="1:10" x14ac:dyDescent="0.25">
      <c r="A24" s="11"/>
      <c r="B24" s="11"/>
      <c r="C24" s="11"/>
      <c r="D24" s="11"/>
      <c r="E24" s="11"/>
      <c r="F24" s="3">
        <f>IF(B24="","",MAX(0,D24-E24))</f>
      </c>
      <c r="G24" s="11"/>
      <c r="H24" s="3">
        <f>IF(B24="","",IF(C24="","כן","לא"))</f>
      </c>
      <c r="I24" s="3">
        <f>IF(B24="","",IF(D24=0,"כן","לא"))</f>
      </c>
      <c r="J24" s="3">
        <f>IF(B24="","",IF(F24&gt;0,"כן","לא"))</f>
      </c>
    </row>
    <row r="25" spans="1:10" x14ac:dyDescent="0.25">
      <c r="A25" s="11"/>
      <c r="B25" s="11"/>
      <c r="C25" s="11"/>
      <c r="D25" s="11"/>
      <c r="E25" s="11"/>
      <c r="F25" s="3">
        <f>IF(B25="","",MAX(0,D25-E25))</f>
      </c>
      <c r="G25" s="11"/>
      <c r="H25" s="3">
        <f>IF(B25="","",IF(C25="","כן","לא"))</f>
      </c>
      <c r="I25" s="3">
        <f>IF(B25="","",IF(D25=0,"כן","לא"))</f>
      </c>
      <c r="J25" s="3">
        <f>IF(B25="","",IF(F25&gt;0,"כן","לא"))</f>
      </c>
    </row>
    <row r="26" spans="1:10" x14ac:dyDescent="0.25">
      <c r="A26" s="11"/>
      <c r="B26" s="11"/>
      <c r="C26" s="11"/>
      <c r="D26" s="11"/>
      <c r="E26" s="11"/>
      <c r="F26" s="3">
        <f>IF(B26="","",MAX(0,D26-E26))</f>
      </c>
      <c r="G26" s="11"/>
      <c r="H26" s="3">
        <f>IF(B26="","",IF(C26="","כן","לא"))</f>
      </c>
      <c r="I26" s="3">
        <f>IF(B26="","",IF(D26=0,"כן","לא"))</f>
      </c>
      <c r="J26" s="3">
        <f>IF(B26="","",IF(F26&gt;0,"כן","לא"))</f>
      </c>
    </row>
    <row r="27" spans="1:10" x14ac:dyDescent="0.25">
      <c r="A27" s="11"/>
      <c r="B27" s="11"/>
      <c r="C27" s="11"/>
      <c r="D27" s="11"/>
      <c r="E27" s="11"/>
      <c r="F27" s="3">
        <f>IF(B27="","",MAX(0,D27-E27))</f>
      </c>
      <c r="G27" s="11"/>
      <c r="H27" s="3">
        <f>IF(B27="","",IF(C27="","כן","לא"))</f>
      </c>
      <c r="I27" s="3">
        <f>IF(B27="","",IF(D27=0,"כן","לא"))</f>
      </c>
      <c r="J27" s="3">
        <f>IF(B27="","",IF(F27&gt;0,"כן","לא"))</f>
      </c>
    </row>
    <row r="28" spans="1:10" x14ac:dyDescent="0.25">
      <c r="A28" s="11"/>
      <c r="B28" s="11"/>
      <c r="C28" s="11"/>
      <c r="D28" s="11"/>
      <c r="E28" s="11"/>
      <c r="F28" s="3">
        <f>IF(B28="","",MAX(0,D28-E28))</f>
      </c>
      <c r="G28" s="11"/>
      <c r="H28" s="3">
        <f>IF(B28="","",IF(C28="","כן","לא"))</f>
      </c>
      <c r="I28" s="3">
        <f>IF(B28="","",IF(D28=0,"כן","לא"))</f>
      </c>
      <c r="J28" s="3">
        <f>IF(B28="","",IF(F28&gt;0,"כן","לא"))</f>
      </c>
    </row>
    <row r="29" spans="1:10" x14ac:dyDescent="0.25">
      <c r="A29" s="11"/>
      <c r="B29" s="11"/>
      <c r="C29" s="11"/>
      <c r="D29" s="11"/>
      <c r="E29" s="11"/>
      <c r="F29" s="3">
        <f>IF(B29="","",MAX(0,D29-E29))</f>
      </c>
      <c r="G29" s="11"/>
      <c r="H29" s="3">
        <f>IF(B29="","",IF(C29="","כן","לא"))</f>
      </c>
      <c r="I29" s="3">
        <f>IF(B29="","",IF(D29=0,"כן","לא"))</f>
      </c>
      <c r="J29" s="3">
        <f>IF(B29="","",IF(F29&gt;0,"כן","לא"))</f>
      </c>
    </row>
    <row r="30" spans="1:10" x14ac:dyDescent="0.25">
      <c r="A30" s="11"/>
      <c r="B30" s="11"/>
      <c r="C30" s="11"/>
      <c r="D30" s="11"/>
      <c r="E30" s="11"/>
      <c r="F30" s="3">
        <f>IF(B30="","",MAX(0,D30-E30))</f>
      </c>
      <c r="G30" s="11"/>
      <c r="H30" s="3">
        <f>IF(B30="","",IF(C30="","כן","לא"))</f>
      </c>
      <c r="I30" s="3">
        <f>IF(B30="","",IF(D30=0,"כן","לא"))</f>
      </c>
      <c r="J30" s="3">
        <f>IF(B30="","",IF(F30&gt;0,"כן","לא"))</f>
      </c>
    </row>
    <row r="31" spans="1:10" x14ac:dyDescent="0.25">
      <c r="A31" s="11"/>
      <c r="B31" s="11"/>
      <c r="C31" s="11"/>
      <c r="D31" s="11"/>
      <c r="E31" s="11"/>
      <c r="F31" s="3">
        <f>IF(B31="","",MAX(0,D31-E31))</f>
      </c>
      <c r="G31" s="11"/>
      <c r="H31" s="3">
        <f>IF(B31="","",IF(C31="","כן","לא"))</f>
      </c>
      <c r="I31" s="3">
        <f>IF(B31="","",IF(D31=0,"כן","לא"))</f>
      </c>
      <c r="J31" s="3">
        <f>IF(B31="","",IF(F31&gt;0,"כן","לא"))</f>
      </c>
    </row>
    <row r="32" spans="1:10" x14ac:dyDescent="0.25">
      <c r="A32" s="11"/>
      <c r="B32" s="11"/>
      <c r="C32" s="11"/>
      <c r="D32" s="11"/>
      <c r="E32" s="11"/>
      <c r="F32" s="3">
        <f>IF(B32="","",MAX(0,D32-E32))</f>
      </c>
      <c r="G32" s="11"/>
      <c r="H32" s="3">
        <f>IF(B32="","",IF(C32="","כן","לא"))</f>
      </c>
      <c r="I32" s="3">
        <f>IF(B32="","",IF(D32=0,"כן","לא"))</f>
      </c>
      <c r="J32" s="3">
        <f>IF(B32="","",IF(F32&gt;0,"כן","לא"))</f>
      </c>
    </row>
    <row r="33" spans="1:10" x14ac:dyDescent="0.25">
      <c r="A33" s="11"/>
      <c r="B33" s="11"/>
      <c r="C33" s="11"/>
      <c r="D33" s="11"/>
      <c r="E33" s="11"/>
      <c r="F33" s="3">
        <f>IF(B33="","",MAX(0,D33-E33))</f>
      </c>
      <c r="G33" s="11"/>
      <c r="H33" s="3">
        <f>IF(B33="","",IF(C33="","כן","לא"))</f>
      </c>
      <c r="I33" s="3">
        <f>IF(B33="","",IF(D33=0,"כן","לא"))</f>
      </c>
      <c r="J33" s="3">
        <f>IF(B33="","",IF(F33&gt;0,"כן","לא"))</f>
      </c>
    </row>
    <row r="34" spans="1:10" x14ac:dyDescent="0.25">
      <c r="A34" s="11"/>
      <c r="B34" s="11"/>
      <c r="C34" s="11"/>
      <c r="D34" s="11"/>
      <c r="E34" s="11"/>
      <c r="F34" s="3">
        <f>IF(B34="","",MAX(0,D34-E34))</f>
      </c>
      <c r="G34" s="11"/>
      <c r="H34" s="3">
        <f>IF(B34="","",IF(C34="","כן","לא"))</f>
      </c>
      <c r="I34" s="3">
        <f>IF(B34="","",IF(D34=0,"כן","לא"))</f>
      </c>
      <c r="J34" s="3">
        <f>IF(B34="","",IF(F34&gt;0,"כן","לא"))</f>
      </c>
    </row>
    <row r="35" spans="1:10" x14ac:dyDescent="0.25">
      <c r="A35" s="11"/>
      <c r="B35" s="11"/>
      <c r="C35" s="11"/>
      <c r="D35" s="11"/>
      <c r="E35" s="11"/>
      <c r="F35" s="3">
        <f>IF(B35="","",MAX(0,D35-E35))</f>
      </c>
      <c r="G35" s="11"/>
      <c r="H35" s="3">
        <f>IF(B35="","",IF(C35="","כן","לא"))</f>
      </c>
      <c r="I35" s="3">
        <f>IF(B35="","",IF(D35=0,"כן","לא"))</f>
      </c>
      <c r="J35" s="3">
        <f>IF(B35="","",IF(F35&gt;0,"כן","לא"))</f>
      </c>
    </row>
    <row r="36" spans="1:10" x14ac:dyDescent="0.25">
      <c r="A36" s="11"/>
      <c r="B36" s="11"/>
      <c r="C36" s="11"/>
      <c r="D36" s="11"/>
      <c r="E36" s="11"/>
      <c r="F36" s="3">
        <f>IF(B36="","",MAX(0,D36-E36))</f>
      </c>
      <c r="G36" s="11"/>
      <c r="H36" s="3">
        <f>IF(B36="","",IF(C36="","כן","לא"))</f>
      </c>
      <c r="I36" s="3">
        <f>IF(B36="","",IF(D36=0,"כן","לא"))</f>
      </c>
      <c r="J36" s="3">
        <f>IF(B36="","",IF(F36&gt;0,"כן","לא"))</f>
      </c>
    </row>
    <row r="37" spans="1:10" x14ac:dyDescent="0.25">
      <c r="A37" s="11"/>
      <c r="B37" s="11"/>
      <c r="C37" s="11"/>
      <c r="D37" s="11"/>
      <c r="E37" s="11"/>
      <c r="F37" s="3">
        <f>IF(B37="","",MAX(0,D37-E37))</f>
      </c>
      <c r="G37" s="11"/>
      <c r="H37" s="3">
        <f>IF(B37="","",IF(C37="","כן","לא"))</f>
      </c>
      <c r="I37" s="3">
        <f>IF(B37="","",IF(D37=0,"כן","לא"))</f>
      </c>
      <c r="J37" s="3">
        <f>IF(B37="","",IF(F37&gt;0,"כן","לא"))</f>
      </c>
    </row>
    <row r="38" spans="1:10" x14ac:dyDescent="0.25">
      <c r="A38" s="11"/>
      <c r="B38" s="11"/>
      <c r="C38" s="11"/>
      <c r="D38" s="11"/>
      <c r="E38" s="11"/>
      <c r="F38" s="3">
        <f>IF(B38="","",MAX(0,D38-E38))</f>
      </c>
      <c r="G38" s="11"/>
      <c r="H38" s="3">
        <f>IF(B38="","",IF(C38="","כן","לא"))</f>
      </c>
      <c r="I38" s="3">
        <f>IF(B38="","",IF(D38=0,"כן","לא"))</f>
      </c>
      <c r="J38" s="3">
        <f>IF(B38="","",IF(F38&gt;0,"כן","לא"))</f>
      </c>
    </row>
    <row r="39" spans="1:10" x14ac:dyDescent="0.25">
      <c r="A39" s="11"/>
      <c r="B39" s="11"/>
      <c r="C39" s="11"/>
      <c r="D39" s="11"/>
      <c r="E39" s="11"/>
      <c r="F39" s="3">
        <f>IF(B39="","",MAX(0,D39-E39))</f>
      </c>
      <c r="G39" s="11"/>
      <c r="H39" s="3">
        <f>IF(B39="","",IF(C39="","כן","לא"))</f>
      </c>
      <c r="I39" s="3">
        <f>IF(B39="","",IF(D39=0,"כן","לא"))</f>
      </c>
      <c r="J39" s="3">
        <f>IF(B39="","",IF(F39&gt;0,"כן","לא"))</f>
      </c>
    </row>
    <row r="40" spans="1:10" x14ac:dyDescent="0.25">
      <c r="A40" s="11"/>
      <c r="B40" s="11"/>
      <c r="C40" s="11"/>
      <c r="D40" s="11"/>
      <c r="E40" s="11"/>
      <c r="F40" s="3">
        <f>IF(B40="","",MAX(0,D40-E40))</f>
      </c>
      <c r="G40" s="11"/>
      <c r="H40" s="3">
        <f>IF(B40="","",IF(C40="","כן","לא"))</f>
      </c>
      <c r="I40" s="3">
        <f>IF(B40="","",IF(D40=0,"כן","לא"))</f>
      </c>
      <c r="J40" s="3">
        <f>IF(B40="","",IF(F40&gt;0,"כן","לא"))</f>
      </c>
    </row>
    <row r="41" spans="1:10" x14ac:dyDescent="0.25">
      <c r="A41" s="11"/>
      <c r="B41" s="11"/>
      <c r="C41" s="11"/>
      <c r="D41" s="11"/>
      <c r="E41" s="11"/>
      <c r="F41" s="3">
        <f>IF(B41="","",MAX(0,D41-E41))</f>
      </c>
      <c r="G41" s="11"/>
      <c r="H41" s="3">
        <f>IF(B41="","",IF(C41="","כן","לא"))</f>
      </c>
      <c r="I41" s="3">
        <f>IF(B41="","",IF(D41=0,"כן","לא"))</f>
      </c>
      <c r="J41" s="3">
        <f>IF(B41="","",IF(F41&gt;0,"כן","לא"))</f>
      </c>
    </row>
    <row r="42" spans="1:10" x14ac:dyDescent="0.25">
      <c r="A42" s="11"/>
      <c r="B42" s="11"/>
      <c r="C42" s="11"/>
      <c r="D42" s="11"/>
      <c r="E42" s="11"/>
      <c r="F42" s="3">
        <f>IF(B42="","",MAX(0,D42-E42))</f>
      </c>
      <c r="G42" s="11"/>
      <c r="H42" s="3">
        <f>IF(B42="","",IF(C42="","כן","לא"))</f>
      </c>
      <c r="I42" s="3">
        <f>IF(B42="","",IF(D42=0,"כן","לא"))</f>
      </c>
      <c r="J42" s="3">
        <f>IF(B42="","",IF(F42&gt;0,"כן","לא"))</f>
      </c>
    </row>
    <row r="43" spans="1:10" x14ac:dyDescent="0.25">
      <c r="A43" s="11"/>
      <c r="B43" s="11"/>
      <c r="C43" s="11"/>
      <c r="D43" s="11"/>
      <c r="E43" s="11"/>
      <c r="F43" s="3">
        <f>IF(B43="","",MAX(0,D43-E43))</f>
      </c>
      <c r="G43" s="11"/>
      <c r="H43" s="3">
        <f>IF(B43="","",IF(C43="","כן","לא"))</f>
      </c>
      <c r="I43" s="3">
        <f>IF(B43="","",IF(D43=0,"כן","לא"))</f>
      </c>
      <c r="J43" s="3">
        <f>IF(B43="","",IF(F43&gt;0,"כן","לא"))</f>
      </c>
    </row>
    <row r="44" spans="1:10" x14ac:dyDescent="0.25">
      <c r="A44" s="11"/>
      <c r="B44" s="11"/>
      <c r="C44" s="11"/>
      <c r="D44" s="11"/>
      <c r="E44" s="11"/>
      <c r="F44" s="3">
        <f>IF(B44="","",MAX(0,D44-E44))</f>
      </c>
      <c r="G44" s="11"/>
      <c r="H44" s="3">
        <f>IF(B44="","",IF(C44="","כן","לא"))</f>
      </c>
      <c r="I44" s="3">
        <f>IF(B44="","",IF(D44=0,"כן","לא"))</f>
      </c>
      <c r="J44" s="3">
        <f>IF(B44="","",IF(F44&gt;0,"כן","לא"))</f>
      </c>
    </row>
    <row r="45" spans="1:10" x14ac:dyDescent="0.25">
      <c r="A45" s="11"/>
      <c r="B45" s="11"/>
      <c r="C45" s="11"/>
      <c r="D45" s="11"/>
      <c r="E45" s="11"/>
      <c r="F45" s="3">
        <f>IF(B45="","",MAX(0,D45-E45))</f>
      </c>
      <c r="G45" s="11"/>
      <c r="H45" s="3">
        <f>IF(B45="","",IF(C45="","כן","לא"))</f>
      </c>
      <c r="I45" s="3">
        <f>IF(B45="","",IF(D45=0,"כן","לא"))</f>
      </c>
      <c r="J45" s="3">
        <f>IF(B45="","",IF(F45&gt;0,"כן","לא"))</f>
      </c>
    </row>
    <row r="46" spans="1:10" x14ac:dyDescent="0.25">
      <c r="A46" s="11"/>
      <c r="B46" s="11"/>
      <c r="C46" s="11"/>
      <c r="D46" s="11"/>
      <c r="E46" s="11"/>
      <c r="F46" s="3">
        <f>IF(B46="","",MAX(0,D46-E46))</f>
      </c>
      <c r="G46" s="11"/>
      <c r="H46" s="3">
        <f>IF(B46="","",IF(C46="","כן","לא"))</f>
      </c>
      <c r="I46" s="3">
        <f>IF(B46="","",IF(D46=0,"כן","לא"))</f>
      </c>
      <c r="J46" s="3">
        <f>IF(B46="","",IF(F46&gt;0,"כן","לא"))</f>
      </c>
    </row>
    <row r="47" spans="1:10" x14ac:dyDescent="0.25">
      <c r="A47" s="11"/>
      <c r="B47" s="11"/>
      <c r="C47" s="11"/>
      <c r="D47" s="11"/>
      <c r="E47" s="11"/>
      <c r="F47" s="3">
        <f>IF(B47="","",MAX(0,D47-E47))</f>
      </c>
      <c r="G47" s="11"/>
      <c r="H47" s="3">
        <f>IF(B47="","",IF(C47="","כן","לא"))</f>
      </c>
      <c r="I47" s="3">
        <f>IF(B47="","",IF(D47=0,"כן","לא"))</f>
      </c>
      <c r="J47" s="3">
        <f>IF(B47="","",IF(F47&gt;0,"כן","לא"))</f>
      </c>
    </row>
    <row r="48" spans="1:10" x14ac:dyDescent="0.25">
      <c r="A48" s="11"/>
      <c r="B48" s="11"/>
      <c r="C48" s="11"/>
      <c r="D48" s="11"/>
      <c r="E48" s="11"/>
      <c r="F48" s="3">
        <f>IF(B48="","",MAX(0,D48-E48))</f>
      </c>
      <c r="G48" s="11"/>
      <c r="H48" s="3">
        <f>IF(B48="","",IF(C48="","כן","לא"))</f>
      </c>
      <c r="I48" s="3">
        <f>IF(B48="","",IF(D48=0,"כן","לא"))</f>
      </c>
      <c r="J48" s="3">
        <f>IF(B48="","",IF(F48&gt;0,"כן","לא"))</f>
      </c>
    </row>
    <row r="49" spans="1:10" x14ac:dyDescent="0.25">
      <c r="A49" s="11"/>
      <c r="B49" s="11"/>
      <c r="C49" s="11"/>
      <c r="D49" s="11"/>
      <c r="E49" s="11"/>
      <c r="F49" s="3">
        <f>IF(B49="","",MAX(0,D49-E49))</f>
      </c>
      <c r="G49" s="11"/>
      <c r="H49" s="3">
        <f>IF(B49="","",IF(C49="","כן","לא"))</f>
      </c>
      <c r="I49" s="3">
        <f>IF(B49="","",IF(D49=0,"כן","לא"))</f>
      </c>
      <c r="J49" s="3">
        <f>IF(B49="","",IF(F49&gt;0,"כן","לא"))</f>
      </c>
    </row>
    <row r="50" spans="1:10" x14ac:dyDescent="0.25">
      <c r="A50" s="11"/>
      <c r="B50" s="11"/>
      <c r="C50" s="11"/>
      <c r="D50" s="11"/>
      <c r="E50" s="11"/>
      <c r="F50" s="3">
        <f>IF(B50="","",MAX(0,D50-E50))</f>
      </c>
      <c r="G50" s="11"/>
      <c r="H50" s="3">
        <f>IF(B50="","",IF(C50="","כן","לא"))</f>
      </c>
      <c r="I50" s="3">
        <f>IF(B50="","",IF(D50=0,"כן","לא"))</f>
      </c>
      <c r="J50" s="3">
        <f>IF(B50="","",IF(F50&gt;0,"כן","לא"))</f>
      </c>
    </row>
    <row r="51" spans="1:10" x14ac:dyDescent="0.25">
      <c r="A51" s="11"/>
      <c r="B51" s="11"/>
      <c r="C51" s="11"/>
      <c r="D51" s="11"/>
      <c r="E51" s="11"/>
      <c r="F51" s="3">
        <f>IF(B51="","",MAX(0,D51-E51))</f>
      </c>
      <c r="G51" s="11"/>
      <c r="H51" s="3">
        <f>IF(B51="","",IF(C51="","כן","לא"))</f>
      </c>
      <c r="I51" s="3">
        <f>IF(B51="","",IF(D51=0,"כן","לא"))</f>
      </c>
      <c r="J51" s="3">
        <f>IF(B51="","",IF(F51&gt;0,"כן","לא"))</f>
      </c>
    </row>
    <row r="52" spans="1:10" x14ac:dyDescent="0.25">
      <c r="A52" s="11"/>
      <c r="B52" s="11"/>
      <c r="C52" s="11"/>
      <c r="D52" s="11"/>
      <c r="E52" s="11"/>
      <c r="F52" s="3">
        <f>IF(B52="","",MAX(0,D52-E52))</f>
      </c>
      <c r="G52" s="11"/>
      <c r="H52" s="3">
        <f>IF(B52="","",IF(C52="","כן","לא"))</f>
      </c>
      <c r="I52" s="3">
        <f>IF(B52="","",IF(D52=0,"כן","לא"))</f>
      </c>
      <c r="J52" s="3">
        <f>IF(B52="","",IF(F52&gt;0,"כן","לא"))</f>
      </c>
    </row>
    <row r="53" spans="1:10" x14ac:dyDescent="0.25">
      <c r="A53" s="11"/>
      <c r="B53" s="11"/>
      <c r="C53" s="11"/>
      <c r="D53" s="11"/>
      <c r="E53" s="11"/>
      <c r="F53" s="3">
        <f>IF(B53="","",MAX(0,D53-E53))</f>
      </c>
      <c r="G53" s="11"/>
      <c r="H53" s="3">
        <f>IF(B53="","",IF(C53="","כן","לא"))</f>
      </c>
      <c r="I53" s="3">
        <f>IF(B53="","",IF(D53=0,"כן","לא"))</f>
      </c>
      <c r="J53" s="3">
        <f>IF(B53="","",IF(F53&gt;0,"כן","לא"))</f>
      </c>
    </row>
    <row r="54" spans="1:10" x14ac:dyDescent="0.25">
      <c r="A54" s="11"/>
      <c r="B54" s="11"/>
      <c r="C54" s="11"/>
      <c r="D54" s="11"/>
      <c r="E54" s="11"/>
      <c r="F54" s="3">
        <f>IF(B54="","",MAX(0,D54-E54))</f>
      </c>
      <c r="G54" s="11"/>
      <c r="H54" s="3">
        <f>IF(B54="","",IF(C54="","כן","לא"))</f>
      </c>
      <c r="I54" s="3">
        <f>IF(B54="","",IF(D54=0,"כן","לא"))</f>
      </c>
      <c r="J54" s="3">
        <f>IF(B54="","",IF(F54&gt;0,"כן","לא"))</f>
      </c>
    </row>
    <row r="55" spans="1:10" x14ac:dyDescent="0.25">
      <c r="A55" s="11"/>
      <c r="B55" s="11"/>
      <c r="C55" s="11"/>
      <c r="D55" s="11"/>
      <c r="E55" s="11"/>
      <c r="F55" s="3">
        <f>IF(B55="","",MAX(0,D55-E55))</f>
      </c>
      <c r="G55" s="11"/>
      <c r="H55" s="3">
        <f>IF(B55="","",IF(C55="","כן","לא"))</f>
      </c>
      <c r="I55" s="3">
        <f>IF(B55="","",IF(D55=0,"כן","לא"))</f>
      </c>
      <c r="J55" s="3">
        <f>IF(B55="","",IF(F55&gt;0,"כן","לא"))</f>
      </c>
    </row>
    <row r="56" spans="1:10" x14ac:dyDescent="0.25">
      <c r="A56" s="11"/>
      <c r="B56" s="11"/>
      <c r="C56" s="11"/>
      <c r="D56" s="11"/>
      <c r="E56" s="11"/>
      <c r="F56" s="3">
        <f>IF(B56="","",MAX(0,D56-E56))</f>
      </c>
      <c r="G56" s="11"/>
      <c r="H56" s="3">
        <f>IF(B56="","",IF(C56="","כן","לא"))</f>
      </c>
      <c r="I56" s="3">
        <f>IF(B56="","",IF(D56=0,"כן","לא"))</f>
      </c>
      <c r="J56" s="3">
        <f>IF(B56="","",IF(F56&gt;0,"כן","לא"))</f>
      </c>
    </row>
    <row r="57" spans="1:10" x14ac:dyDescent="0.25">
      <c r="A57" s="11"/>
      <c r="B57" s="11"/>
      <c r="C57" s="11"/>
      <c r="D57" s="11"/>
      <c r="E57" s="11"/>
      <c r="F57" s="3">
        <f>IF(B57="","",MAX(0,D57-E57))</f>
      </c>
      <c r="G57" s="11"/>
      <c r="H57" s="3">
        <f>IF(B57="","",IF(C57="","כן","לא"))</f>
      </c>
      <c r="I57" s="3">
        <f>IF(B57="","",IF(D57=0,"כן","לא"))</f>
      </c>
      <c r="J57" s="3">
        <f>IF(B57="","",IF(F57&gt;0,"כן","לא"))</f>
      </c>
    </row>
    <row r="58" spans="1:10" x14ac:dyDescent="0.25">
      <c r="A58" s="11"/>
      <c r="B58" s="11"/>
      <c r="C58" s="11"/>
      <c r="D58" s="11"/>
      <c r="E58" s="11"/>
      <c r="F58" s="3">
        <f>IF(B58="","",MAX(0,D58-E58))</f>
      </c>
      <c r="G58" s="11"/>
      <c r="H58" s="3">
        <f>IF(B58="","",IF(C58="","כן","לא"))</f>
      </c>
      <c r="I58" s="3">
        <f>IF(B58="","",IF(D58=0,"כן","לא"))</f>
      </c>
      <c r="J58" s="3">
        <f>IF(B58="","",IF(F58&gt;0,"כן","לא"))</f>
      </c>
    </row>
    <row r="59" spans="1:10" x14ac:dyDescent="0.25">
      <c r="A59" s="11"/>
      <c r="B59" s="11"/>
      <c r="C59" s="11"/>
      <c r="D59" s="11"/>
      <c r="E59" s="11"/>
      <c r="F59" s="3">
        <f>IF(B59="","",MAX(0,D59-E59))</f>
      </c>
      <c r="G59" s="11"/>
      <c r="H59" s="3">
        <f>IF(B59="","",IF(C59="","כן","לא"))</f>
      </c>
      <c r="I59" s="3">
        <f>IF(B59="","",IF(D59=0,"כן","לא"))</f>
      </c>
      <c r="J59" s="3">
        <f>IF(B59="","",IF(F59&gt;0,"כן","לא"))</f>
      </c>
    </row>
    <row r="60" spans="1:10" x14ac:dyDescent="0.25">
      <c r="A60" s="11"/>
      <c r="B60" s="11"/>
      <c r="C60" s="11"/>
      <c r="D60" s="11"/>
      <c r="E60" s="11"/>
      <c r="F60" s="3">
        <f>IF(B60="","",MAX(0,D60-E60))</f>
      </c>
      <c r="G60" s="11"/>
      <c r="H60" s="3">
        <f>IF(B60="","",IF(C60="","כן","לא"))</f>
      </c>
      <c r="I60" s="3">
        <f>IF(B60="","",IF(D60=0,"כן","לא"))</f>
      </c>
      <c r="J60" s="3">
        <f>IF(B60="","",IF(F60&gt;0,"כן","לא"))</f>
      </c>
    </row>
    <row r="61" spans="1:10" x14ac:dyDescent="0.25">
      <c r="A61" s="11"/>
      <c r="B61" s="11"/>
      <c r="C61" s="11"/>
      <c r="D61" s="11"/>
      <c r="E61" s="11"/>
      <c r="F61" s="3">
        <f>IF(B61="","",MAX(0,D61-E61))</f>
      </c>
      <c r="G61" s="11"/>
      <c r="H61" s="3">
        <f>IF(B61="","",IF(C61="","כן","לא"))</f>
      </c>
      <c r="I61" s="3">
        <f>IF(B61="","",IF(D61=0,"כן","לא"))</f>
      </c>
      <c r="J61" s="3">
        <f>IF(B61="","",IF(F61&gt;0,"כן","לא"))</f>
      </c>
    </row>
    <row r="62" spans="1:10" x14ac:dyDescent="0.25">
      <c r="A62" s="11"/>
      <c r="B62" s="11"/>
      <c r="C62" s="11"/>
      <c r="D62" s="11"/>
      <c r="E62" s="11"/>
      <c r="F62" s="3">
        <f>IF(B62="","",MAX(0,D62-E62))</f>
      </c>
      <c r="G62" s="11"/>
      <c r="H62" s="3">
        <f>IF(B62="","",IF(C62="","כן","לא"))</f>
      </c>
      <c r="I62" s="3">
        <f>IF(B62="","",IF(D62=0,"כן","לא"))</f>
      </c>
      <c r="J62" s="3">
        <f>IF(B62="","",IF(F62&gt;0,"כן","לא"))</f>
      </c>
    </row>
    <row r="63" spans="1:10" x14ac:dyDescent="0.25">
      <c r="A63" s="11"/>
      <c r="B63" s="11"/>
      <c r="C63" s="11"/>
      <c r="D63" s="11"/>
      <c r="E63" s="11"/>
      <c r="F63" s="3">
        <f>IF(B63="","",MAX(0,D63-E63))</f>
      </c>
      <c r="G63" s="11"/>
      <c r="H63" s="3">
        <f>IF(B63="","",IF(C63="","כן","לא"))</f>
      </c>
      <c r="I63" s="3">
        <f>IF(B63="","",IF(D63=0,"כן","לא"))</f>
      </c>
      <c r="J63" s="3">
        <f>IF(B63="","",IF(F63&gt;0,"כן","לא"))</f>
      </c>
    </row>
    <row r="64" spans="1:10" x14ac:dyDescent="0.25">
      <c r="A64" s="11"/>
      <c r="B64" s="11"/>
      <c r="C64" s="11"/>
      <c r="D64" s="11"/>
      <c r="E64" s="11"/>
      <c r="F64" s="3">
        <f>IF(B64="","",MAX(0,D64-E64))</f>
      </c>
      <c r="G64" s="11"/>
      <c r="H64" s="3">
        <f>IF(B64="","",IF(C64="","כן","לא"))</f>
      </c>
      <c r="I64" s="3">
        <f>IF(B64="","",IF(D64=0,"כן","לא"))</f>
      </c>
      <c r="J64" s="3">
        <f>IF(B64="","",IF(F64&gt;0,"כן","לא"))</f>
      </c>
    </row>
    <row r="65" spans="1:10" x14ac:dyDescent="0.25">
      <c r="A65" s="11"/>
      <c r="B65" s="11"/>
      <c r="C65" s="11"/>
      <c r="D65" s="11"/>
      <c r="E65" s="11"/>
      <c r="F65" s="3">
        <f>IF(B65="","",MAX(0,D65-E65))</f>
      </c>
      <c r="G65" s="11"/>
      <c r="H65" s="3">
        <f>IF(B65="","",IF(C65="","כן","לא"))</f>
      </c>
      <c r="I65" s="3">
        <f>IF(B65="","",IF(D65=0,"כן","לא"))</f>
      </c>
      <c r="J65" s="3">
        <f>IF(B65="","",IF(F65&gt;0,"כן","לא"))</f>
      </c>
    </row>
    <row r="66" spans="1:10" x14ac:dyDescent="0.25">
      <c r="A66" s="11"/>
      <c r="B66" s="11"/>
      <c r="C66" s="11"/>
      <c r="D66" s="11"/>
      <c r="E66" s="11"/>
      <c r="F66" s="3">
        <f>IF(B66="","",MAX(0,D66-E66))</f>
      </c>
      <c r="G66" s="11"/>
      <c r="H66" s="3">
        <f>IF(B66="","",IF(C66="","כן","לא"))</f>
      </c>
      <c r="I66" s="3">
        <f>IF(B66="","",IF(D66=0,"כן","לא"))</f>
      </c>
      <c r="J66" s="3">
        <f>IF(B66="","",IF(F66&gt;0,"כן","לא"))</f>
      </c>
    </row>
    <row r="67" spans="1:10" x14ac:dyDescent="0.25">
      <c r="A67" s="11"/>
      <c r="B67" s="11"/>
      <c r="C67" s="11"/>
      <c r="D67" s="11"/>
      <c r="E67" s="11"/>
      <c r="F67" s="3">
        <f>IF(B67="","",MAX(0,D67-E67))</f>
      </c>
      <c r="G67" s="11"/>
      <c r="H67" s="3">
        <f>IF(B67="","",IF(C67="","כן","לא"))</f>
      </c>
      <c r="I67" s="3">
        <f>IF(B67="","",IF(D67=0,"כן","לא"))</f>
      </c>
      <c r="J67" s="3">
        <f>IF(B67="","",IF(F67&gt;0,"כן","לא"))</f>
      </c>
    </row>
    <row r="68" spans="1:10" x14ac:dyDescent="0.25">
      <c r="A68" s="11"/>
      <c r="B68" s="11"/>
      <c r="C68" s="11"/>
      <c r="D68" s="11"/>
      <c r="E68" s="11"/>
      <c r="F68" s="3">
        <f>IF(B68="","",MAX(0,D68-E68))</f>
      </c>
      <c r="G68" s="11"/>
      <c r="H68" s="3">
        <f>IF(B68="","",IF(C68="","כן","לא"))</f>
      </c>
      <c r="I68" s="3">
        <f>IF(B68="","",IF(D68=0,"כן","לא"))</f>
      </c>
      <c r="J68" s="3">
        <f>IF(B68="","",IF(F68&gt;0,"כן","לא"))</f>
      </c>
    </row>
    <row r="69" spans="1:10" x14ac:dyDescent="0.25">
      <c r="A69" s="11"/>
      <c r="B69" s="11"/>
      <c r="C69" s="11"/>
      <c r="D69" s="11"/>
      <c r="E69" s="11"/>
      <c r="F69" s="3">
        <f>IF(B69="","",MAX(0,D69-E69))</f>
      </c>
      <c r="G69" s="11"/>
      <c r="H69" s="3">
        <f>IF(B69="","",IF(C69="","כן","לא"))</f>
      </c>
      <c r="I69" s="3">
        <f>IF(B69="","",IF(D69=0,"כן","לא"))</f>
      </c>
      <c r="J69" s="3">
        <f>IF(B69="","",IF(F69&gt;0,"כן","לא"))</f>
      </c>
    </row>
    <row r="70" spans="1:10" x14ac:dyDescent="0.25">
      <c r="A70" s="11"/>
      <c r="B70" s="11"/>
      <c r="C70" s="11"/>
      <c r="D70" s="11"/>
      <c r="E70" s="11"/>
      <c r="F70" s="3">
        <f>IF(B70="","",MAX(0,D70-E70))</f>
      </c>
      <c r="G70" s="11"/>
      <c r="H70" s="3">
        <f>IF(B70="","",IF(C70="","כן","לא"))</f>
      </c>
      <c r="I70" s="3">
        <f>IF(B70="","",IF(D70=0,"כן","לא"))</f>
      </c>
      <c r="J70" s="3">
        <f>IF(B70="","",IF(F70&gt;0,"כן","לא"))</f>
      </c>
    </row>
    <row r="71" spans="1:10" x14ac:dyDescent="0.25">
      <c r="A71" s="11"/>
      <c r="B71" s="11"/>
      <c r="C71" s="11"/>
      <c r="D71" s="11"/>
      <c r="E71" s="11"/>
      <c r="F71" s="3">
        <f>IF(B71="","",MAX(0,D71-E71))</f>
      </c>
      <c r="G71" s="11"/>
      <c r="H71" s="3">
        <f>IF(B71="","",IF(C71="","כן","לא"))</f>
      </c>
      <c r="I71" s="3">
        <f>IF(B71="","",IF(D71=0,"כן","לא"))</f>
      </c>
      <c r="J71" s="3">
        <f>IF(B71="","",IF(F71&gt;0,"כן","לא"))</f>
      </c>
    </row>
    <row r="72" spans="1:10" x14ac:dyDescent="0.25">
      <c r="A72" s="11"/>
      <c r="B72" s="11"/>
      <c r="C72" s="11"/>
      <c r="D72" s="11"/>
      <c r="E72" s="11"/>
      <c r="F72" s="3">
        <f>IF(B72="","",MAX(0,D72-E72))</f>
      </c>
      <c r="G72" s="11"/>
      <c r="H72" s="3">
        <f>IF(B72="","",IF(C72="","כן","לא"))</f>
      </c>
      <c r="I72" s="3">
        <f>IF(B72="","",IF(D72=0,"כן","לא"))</f>
      </c>
      <c r="J72" s="3">
        <f>IF(B72="","",IF(F72&gt;0,"כן","לא"))</f>
      </c>
    </row>
    <row r="73" spans="1:10" x14ac:dyDescent="0.25">
      <c r="A73" s="11"/>
      <c r="B73" s="11"/>
      <c r="C73" s="11"/>
      <c r="D73" s="11"/>
      <c r="E73" s="11"/>
      <c r="F73" s="3">
        <f>IF(B73="","",MAX(0,D73-E73))</f>
      </c>
      <c r="G73" s="11"/>
      <c r="H73" s="3">
        <f>IF(B73="","",IF(C73="","כן","לא"))</f>
      </c>
      <c r="I73" s="3">
        <f>IF(B73="","",IF(D73=0,"כן","לא"))</f>
      </c>
      <c r="J73" s="3">
        <f>IF(B73="","",IF(F73&gt;0,"כן","לא"))</f>
      </c>
    </row>
    <row r="74" spans="1:10" x14ac:dyDescent="0.25">
      <c r="A74" s="11"/>
      <c r="B74" s="11"/>
      <c r="C74" s="11"/>
      <c r="D74" s="11"/>
      <c r="E74" s="11"/>
      <c r="F74" s="3">
        <f>IF(B74="","",MAX(0,D74-E74))</f>
      </c>
      <c r="G74" s="11"/>
      <c r="H74" s="3">
        <f>IF(B74="","",IF(C74="","כן","לא"))</f>
      </c>
      <c r="I74" s="3">
        <f>IF(B74="","",IF(D74=0,"כן","לא"))</f>
      </c>
      <c r="J74" s="3">
        <f>IF(B74="","",IF(F74&gt;0,"כן","לא"))</f>
      </c>
    </row>
    <row r="75" spans="1:10" x14ac:dyDescent="0.25">
      <c r="A75" s="11"/>
      <c r="B75" s="11"/>
      <c r="C75" s="11"/>
      <c r="D75" s="11"/>
      <c r="E75" s="11"/>
      <c r="F75" s="3">
        <f>IF(B75="","",MAX(0,D75-E75))</f>
      </c>
      <c r="G75" s="11"/>
      <c r="H75" s="3">
        <f>IF(B75="","",IF(C75="","כן","לא"))</f>
      </c>
      <c r="I75" s="3">
        <f>IF(B75="","",IF(D75=0,"כן","לא"))</f>
      </c>
      <c r="J75" s="3">
        <f>IF(B75="","",IF(F75&gt;0,"כן","לא"))</f>
      </c>
    </row>
    <row r="76" spans="1:10" x14ac:dyDescent="0.25">
      <c r="A76" s="11"/>
      <c r="B76" s="11"/>
      <c r="C76" s="11"/>
      <c r="D76" s="11"/>
      <c r="E76" s="11"/>
      <c r="F76" s="3">
        <f>IF(B76="","",MAX(0,D76-E76))</f>
      </c>
      <c r="G76" s="11"/>
      <c r="H76" s="3">
        <f>IF(B76="","",IF(C76="","כן","לא"))</f>
      </c>
      <c r="I76" s="3">
        <f>IF(B76="","",IF(D76=0,"כן","לא"))</f>
      </c>
      <c r="J76" s="3">
        <f>IF(B76="","",IF(F76&gt;0,"כן","לא"))</f>
      </c>
    </row>
    <row r="77" spans="1:10" x14ac:dyDescent="0.25">
      <c r="A77" s="11"/>
      <c r="B77" s="11"/>
      <c r="C77" s="11"/>
      <c r="D77" s="11"/>
      <c r="E77" s="11"/>
      <c r="F77" s="3">
        <f>IF(B77="","",MAX(0,D77-E77))</f>
      </c>
      <c r="G77" s="11"/>
      <c r="H77" s="3">
        <f>IF(B77="","",IF(C77="","כן","לא"))</f>
      </c>
      <c r="I77" s="3">
        <f>IF(B77="","",IF(D77=0,"כן","לא"))</f>
      </c>
      <c r="J77" s="3">
        <f>IF(B77="","",IF(F77&gt;0,"כן","לא"))</f>
      </c>
    </row>
    <row r="78" spans="1:10" x14ac:dyDescent="0.25">
      <c r="A78" s="11"/>
      <c r="B78" s="11"/>
      <c r="C78" s="11"/>
      <c r="D78" s="11"/>
      <c r="E78" s="11"/>
      <c r="F78" s="3">
        <f>IF(B78="","",MAX(0,D78-E78))</f>
      </c>
      <c r="G78" s="11"/>
      <c r="H78" s="3">
        <f>IF(B78="","",IF(C78="","כן","לא"))</f>
      </c>
      <c r="I78" s="3">
        <f>IF(B78="","",IF(D78=0,"כן","לא"))</f>
      </c>
      <c r="J78" s="3">
        <f>IF(B78="","",IF(F78&gt;0,"כן","לא"))</f>
      </c>
    </row>
    <row r="79" spans="1:10" x14ac:dyDescent="0.25">
      <c r="A79" s="11"/>
      <c r="B79" s="11"/>
      <c r="C79" s="11"/>
      <c r="D79" s="11"/>
      <c r="E79" s="11"/>
      <c r="F79" s="3">
        <f>IF(B79="","",MAX(0,D79-E79))</f>
      </c>
      <c r="G79" s="11"/>
      <c r="H79" s="3">
        <f>IF(B79="","",IF(C79="","כן","לא"))</f>
      </c>
      <c r="I79" s="3">
        <f>IF(B79="","",IF(D79=0,"כן","לא"))</f>
      </c>
      <c r="J79" s="3">
        <f>IF(B79="","",IF(F79&gt;0,"כן","לא"))</f>
      </c>
    </row>
    <row r="80" spans="1:10" x14ac:dyDescent="0.25">
      <c r="A80" s="11"/>
      <c r="B80" s="11"/>
      <c r="C80" s="11"/>
      <c r="D80" s="11"/>
      <c r="E80" s="11"/>
      <c r="F80" s="3">
        <f>IF(B80="","",MAX(0,D80-E80))</f>
      </c>
      <c r="G80" s="11"/>
      <c r="H80" s="3">
        <f>IF(B80="","",IF(C80="","כן","לא"))</f>
      </c>
      <c r="I80" s="3">
        <f>IF(B80="","",IF(D80=0,"כן","לא"))</f>
      </c>
      <c r="J80" s="3">
        <f>IF(B80="","",IF(F80&gt;0,"כן","לא"))</f>
      </c>
    </row>
    <row r="81" spans="1:10" x14ac:dyDescent="0.25">
      <c r="A81" s="11"/>
      <c r="B81" s="11"/>
      <c r="C81" s="11"/>
      <c r="D81" s="11"/>
      <c r="E81" s="11"/>
      <c r="F81" s="3">
        <f>IF(B81="","",MAX(0,D81-E81))</f>
      </c>
      <c r="G81" s="11"/>
      <c r="H81" s="3">
        <f>IF(B81="","",IF(C81="","כן","לא"))</f>
      </c>
      <c r="I81" s="3">
        <f>IF(B81="","",IF(D81=0,"כן","לא"))</f>
      </c>
      <c r="J81" s="3">
        <f>IF(B81="","",IF(F81&gt;0,"כן","לא"))</f>
      </c>
    </row>
    <row r="82" spans="1:10" x14ac:dyDescent="0.25">
      <c r="A82" s="11"/>
      <c r="B82" s="11"/>
      <c r="C82" s="11"/>
      <c r="D82" s="11"/>
      <c r="E82" s="11"/>
      <c r="F82" s="3">
        <f>IF(B82="","",MAX(0,D82-E82))</f>
      </c>
      <c r="G82" s="11"/>
      <c r="H82" s="3">
        <f>IF(B82="","",IF(C82="","כן","לא"))</f>
      </c>
      <c r="I82" s="3">
        <f>IF(B82="","",IF(D82=0,"כן","לא"))</f>
      </c>
      <c r="J82" s="3">
        <f>IF(B82="","",IF(F82&gt;0,"כן","לא"))</f>
      </c>
    </row>
    <row r="83" spans="1:10" x14ac:dyDescent="0.25">
      <c r="A83" s="11"/>
      <c r="B83" s="11"/>
      <c r="C83" s="11"/>
      <c r="D83" s="11"/>
      <c r="E83" s="11"/>
      <c r="F83" s="3">
        <f>IF(B83="","",MAX(0,D83-E83))</f>
      </c>
      <c r="G83" s="11"/>
      <c r="H83" s="3">
        <f>IF(B83="","",IF(C83="","כן","לא"))</f>
      </c>
      <c r="I83" s="3">
        <f>IF(B83="","",IF(D83=0,"כן","לא"))</f>
      </c>
      <c r="J83" s="3">
        <f>IF(B83="","",IF(F83&gt;0,"כן","לא"))</f>
      </c>
    </row>
    <row r="84" spans="1:10" x14ac:dyDescent="0.25">
      <c r="A84" s="11"/>
      <c r="B84" s="11"/>
      <c r="C84" s="11"/>
      <c r="D84" s="11"/>
      <c r="E84" s="11"/>
      <c r="F84" s="3">
        <f>IF(B84="","",MAX(0,D84-E84))</f>
      </c>
      <c r="G84" s="11"/>
      <c r="H84" s="3">
        <f>IF(B84="","",IF(C84="","כן","לא"))</f>
      </c>
      <c r="I84" s="3">
        <f>IF(B84="","",IF(D84=0,"כן","לא"))</f>
      </c>
      <c r="J84" s="3">
        <f>IF(B84="","",IF(F84&gt;0,"כן","לא"))</f>
      </c>
    </row>
    <row r="85" spans="1:10" x14ac:dyDescent="0.25">
      <c r="A85" s="11"/>
      <c r="B85" s="11"/>
      <c r="C85" s="11"/>
      <c r="D85" s="11"/>
      <c r="E85" s="11"/>
      <c r="F85" s="3">
        <f>IF(B85="","",MAX(0,D85-E85))</f>
      </c>
      <c r="G85" s="11"/>
      <c r="H85" s="3">
        <f>IF(B85="","",IF(C85="","כן","לא"))</f>
      </c>
      <c r="I85" s="3">
        <f>IF(B85="","",IF(D85=0,"כן","לא"))</f>
      </c>
      <c r="J85" s="3">
        <f>IF(B85="","",IF(F85&gt;0,"כן","לא"))</f>
      </c>
    </row>
    <row r="86" spans="1:10" x14ac:dyDescent="0.25">
      <c r="A86" s="11"/>
      <c r="B86" s="11"/>
      <c r="C86" s="11"/>
      <c r="D86" s="11"/>
      <c r="E86" s="11"/>
      <c r="F86" s="3">
        <f>IF(B86="","",MAX(0,D86-E86))</f>
      </c>
      <c r="G86" s="11"/>
      <c r="H86" s="3">
        <f>IF(B86="","",IF(C86="","כן","לא"))</f>
      </c>
      <c r="I86" s="3">
        <f>IF(B86="","",IF(D86=0,"כן","לא"))</f>
      </c>
      <c r="J86" s="3">
        <f>IF(B86="","",IF(F86&gt;0,"כן","לא"))</f>
      </c>
    </row>
    <row r="87" spans="1:10" x14ac:dyDescent="0.25">
      <c r="A87" s="11"/>
      <c r="B87" s="11"/>
      <c r="C87" s="11"/>
      <c r="D87" s="11"/>
      <c r="E87" s="11"/>
      <c r="F87" s="3">
        <f>IF(B87="","",MAX(0,D87-E87))</f>
      </c>
      <c r="G87" s="11"/>
      <c r="H87" s="3">
        <f>IF(B87="","",IF(C87="","כן","לא"))</f>
      </c>
      <c r="I87" s="3">
        <f>IF(B87="","",IF(D87=0,"כן","לא"))</f>
      </c>
      <c r="J87" s="3">
        <f>IF(B87="","",IF(F87&gt;0,"כן","לא"))</f>
      </c>
    </row>
    <row r="88" spans="1:10" x14ac:dyDescent="0.25">
      <c r="A88" s="11"/>
      <c r="B88" s="11"/>
      <c r="C88" s="11"/>
      <c r="D88" s="11"/>
      <c r="E88" s="11"/>
      <c r="F88" s="3">
        <f>IF(B88="","",MAX(0,D88-E88))</f>
      </c>
      <c r="G88" s="11"/>
      <c r="H88" s="3">
        <f>IF(B88="","",IF(C88="","כן","לא"))</f>
      </c>
      <c r="I88" s="3">
        <f>IF(B88="","",IF(D88=0,"כן","לא"))</f>
      </c>
      <c r="J88" s="3">
        <f>IF(B88="","",IF(F88&gt;0,"כן","לא"))</f>
      </c>
    </row>
    <row r="89" spans="1:10" x14ac:dyDescent="0.25">
      <c r="A89" s="11"/>
      <c r="B89" s="11"/>
      <c r="C89" s="11"/>
      <c r="D89" s="11"/>
      <c r="E89" s="11"/>
      <c r="F89" s="3">
        <f>IF(B89="","",MAX(0,D89-E89))</f>
      </c>
      <c r="G89" s="11"/>
      <c r="H89" s="3">
        <f>IF(B89="","",IF(C89="","כן","לא"))</f>
      </c>
      <c r="I89" s="3">
        <f>IF(B89="","",IF(D89=0,"כן","לא"))</f>
      </c>
      <c r="J89" s="3">
        <f>IF(B89="","",IF(F89&gt;0,"כן","לא"))</f>
      </c>
    </row>
    <row r="90" spans="1:10" x14ac:dyDescent="0.25">
      <c r="A90" s="11"/>
      <c r="B90" s="11"/>
      <c r="C90" s="11"/>
      <c r="D90" s="11"/>
      <c r="E90" s="11"/>
      <c r="F90" s="3">
        <f>IF(B90="","",MAX(0,D90-E90))</f>
      </c>
      <c r="G90" s="11"/>
      <c r="H90" s="3">
        <f>IF(B90="","",IF(C90="","כן","לא"))</f>
      </c>
      <c r="I90" s="3">
        <f>IF(B90="","",IF(D90=0,"כן","לא"))</f>
      </c>
      <c r="J90" s="3">
        <f>IF(B90="","",IF(F90&gt;0,"כן","לא"))</f>
      </c>
    </row>
    <row r="91" spans="1:10" x14ac:dyDescent="0.25">
      <c r="A91" s="11"/>
      <c r="B91" s="11"/>
      <c r="C91" s="11"/>
      <c r="D91" s="11"/>
      <c r="E91" s="11"/>
      <c r="F91" s="3">
        <f>IF(B91="","",MAX(0,D91-E91))</f>
      </c>
      <c r="G91" s="11"/>
      <c r="H91" s="3">
        <f>IF(B91="","",IF(C91="","כן","לא"))</f>
      </c>
      <c r="I91" s="3">
        <f>IF(B91="","",IF(D91=0,"כן","לא"))</f>
      </c>
      <c r="J91" s="3">
        <f>IF(B91="","",IF(F91&gt;0,"כן","לא"))</f>
      </c>
    </row>
    <row r="92" spans="1:10" x14ac:dyDescent="0.25">
      <c r="A92" s="11"/>
      <c r="B92" s="11"/>
      <c r="C92" s="11"/>
      <c r="D92" s="11"/>
      <c r="E92" s="11"/>
      <c r="F92" s="3">
        <f>IF(B92="","",MAX(0,D92-E92))</f>
      </c>
      <c r="G92" s="11"/>
      <c r="H92" s="3">
        <f>IF(B92="","",IF(C92="","כן","לא"))</f>
      </c>
      <c r="I92" s="3">
        <f>IF(B92="","",IF(D92=0,"כן","לא"))</f>
      </c>
      <c r="J92" s="3">
        <f>IF(B92="","",IF(F92&gt;0,"כן","לא"))</f>
      </c>
    </row>
    <row r="93" spans="1:10" x14ac:dyDescent="0.25">
      <c r="A93" s="11"/>
      <c r="B93" s="11"/>
      <c r="C93" s="11"/>
      <c r="D93" s="11"/>
      <c r="E93" s="11"/>
      <c r="F93" s="3">
        <f>IF(B93="","",MAX(0,D93-E93))</f>
      </c>
      <c r="G93" s="11"/>
      <c r="H93" s="3">
        <f>IF(B93="","",IF(C93="","כן","לא"))</f>
      </c>
      <c r="I93" s="3">
        <f>IF(B93="","",IF(D93=0,"כן","לא"))</f>
      </c>
      <c r="J93" s="3">
        <f>IF(B93="","",IF(F93&gt;0,"כן","לא"))</f>
      </c>
    </row>
    <row r="94" spans="1:10" x14ac:dyDescent="0.25">
      <c r="A94" s="11"/>
      <c r="B94" s="11"/>
      <c r="C94" s="11"/>
      <c r="D94" s="11"/>
      <c r="E94" s="11"/>
      <c r="F94" s="3">
        <f>IF(B94="","",MAX(0,D94-E94))</f>
      </c>
      <c r="G94" s="11"/>
      <c r="H94" s="3">
        <f>IF(B94="","",IF(C94="","כן","לא"))</f>
      </c>
      <c r="I94" s="3">
        <f>IF(B94="","",IF(D94=0,"כן","לא"))</f>
      </c>
      <c r="J94" s="3">
        <f>IF(B94="","",IF(F94&gt;0,"כן","לא"))</f>
      </c>
    </row>
    <row r="95" spans="1:10" x14ac:dyDescent="0.25">
      <c r="A95" s="11"/>
      <c r="B95" s="11"/>
      <c r="C95" s="11"/>
      <c r="D95" s="11"/>
      <c r="E95" s="11"/>
      <c r="F95" s="3">
        <f>IF(B95="","",MAX(0,D95-E95))</f>
      </c>
      <c r="G95" s="11"/>
      <c r="H95" s="3">
        <f>IF(B95="","",IF(C95="","כן","לא"))</f>
      </c>
      <c r="I95" s="3">
        <f>IF(B95="","",IF(D95=0,"כן","לא"))</f>
      </c>
      <c r="J95" s="3">
        <f>IF(B95="","",IF(F95&gt;0,"כן","לא"))</f>
      </c>
    </row>
    <row r="96" spans="1:10" x14ac:dyDescent="0.25">
      <c r="A96" s="11"/>
      <c r="B96" s="11"/>
      <c r="C96" s="11"/>
      <c r="D96" s="11"/>
      <c r="E96" s="11"/>
      <c r="F96" s="3">
        <f>IF(B96="","",MAX(0,D96-E96))</f>
      </c>
      <c r="G96" s="11"/>
      <c r="H96" s="3">
        <f>IF(B96="","",IF(C96="","כן","לא"))</f>
      </c>
      <c r="I96" s="3">
        <f>IF(B96="","",IF(D96=0,"כן","לא"))</f>
      </c>
      <c r="J96" s="3">
        <f>IF(B96="","",IF(F96&gt;0,"כן","לא"))</f>
      </c>
    </row>
    <row r="97" spans="1:10" x14ac:dyDescent="0.25">
      <c r="A97" s="11"/>
      <c r="B97" s="11"/>
      <c r="C97" s="11"/>
      <c r="D97" s="11"/>
      <c r="E97" s="11"/>
      <c r="F97" s="3">
        <f>IF(B97="","",MAX(0,D97-E97))</f>
      </c>
      <c r="G97" s="11"/>
      <c r="H97" s="3">
        <f>IF(B97="","",IF(C97="","כן","לא"))</f>
      </c>
      <c r="I97" s="3">
        <f>IF(B97="","",IF(D97=0,"כן","לא"))</f>
      </c>
      <c r="J97" s="3">
        <f>IF(B97="","",IF(F97&gt;0,"כן","לא"))</f>
      </c>
    </row>
    <row r="98" spans="1:10" x14ac:dyDescent="0.25">
      <c r="A98" s="11"/>
      <c r="B98" s="11"/>
      <c r="C98" s="11"/>
      <c r="D98" s="11"/>
      <c r="E98" s="11"/>
      <c r="F98" s="3">
        <f>IF(B98="","",MAX(0,D98-E98))</f>
      </c>
      <c r="G98" s="11"/>
      <c r="H98" s="3">
        <f>IF(B98="","",IF(C98="","כן","לא"))</f>
      </c>
      <c r="I98" s="3">
        <f>IF(B98="","",IF(D98=0,"כן","לא"))</f>
      </c>
      <c r="J98" s="3">
        <f>IF(B98="","",IF(F98&gt;0,"כן","לא"))</f>
      </c>
    </row>
    <row r="99" spans="1:10" x14ac:dyDescent="0.25">
      <c r="A99" s="11"/>
      <c r="B99" s="11"/>
      <c r="C99" s="11"/>
      <c r="D99" s="11"/>
      <c r="E99" s="11"/>
      <c r="F99" s="3">
        <f>IF(B99="","",MAX(0,D99-E99))</f>
      </c>
      <c r="G99" s="11"/>
      <c r="H99" s="3">
        <f>IF(B99="","",IF(C99="","כן","לא"))</f>
      </c>
      <c r="I99" s="3">
        <f>IF(B99="","",IF(D99=0,"כן","לא"))</f>
      </c>
      <c r="J99" s="3">
        <f>IF(B99="","",IF(F99&gt;0,"כן","לא"))</f>
      </c>
    </row>
    <row r="100" spans="1:10" x14ac:dyDescent="0.25">
      <c r="A100" s="11"/>
      <c r="B100" s="11"/>
      <c r="C100" s="11"/>
      <c r="D100" s="11"/>
      <c r="E100" s="11"/>
      <c r="F100" s="3">
        <f>IF(B100="","",MAX(0,D100-E100))</f>
      </c>
      <c r="G100" s="11"/>
      <c r="H100" s="3">
        <f>IF(B100="","",IF(C100="","כן","לא"))</f>
      </c>
      <c r="I100" s="3">
        <f>IF(B100="","",IF(D100=0,"כן","לא"))</f>
      </c>
      <c r="J100" s="3">
        <f>IF(B100="","",IF(F100&gt;0,"כן","לא"))</f>
      </c>
    </row>
    <row r="101" spans="1:10" x14ac:dyDescent="0.25">
      <c r="A101" s="11"/>
      <c r="B101" s="11"/>
      <c r="C101" s="11"/>
      <c r="D101" s="11"/>
      <c r="E101" s="11"/>
      <c r="F101" s="3">
        <f>IF(B101="","",MAX(0,D101-E101))</f>
      </c>
      <c r="G101" s="11"/>
      <c r="H101" s="3">
        <f>IF(B101="","",IF(C101="","כן","לא"))</f>
      </c>
      <c r="I101" s="3">
        <f>IF(B101="","",IF(D101=0,"כן","לא"))</f>
      </c>
      <c r="J101" s="3">
        <f>IF(B101="","",IF(F101&gt;0,"כן","לא"))</f>
      </c>
    </row>
    <row r="102" spans="1:10" x14ac:dyDescent="0.25">
      <c r="A102" s="11"/>
      <c r="B102" s="11"/>
      <c r="C102" s="11"/>
      <c r="D102" s="11"/>
      <c r="E102" s="11"/>
      <c r="F102" s="3">
        <f>IF(B102="","",MAX(0,D102-E102))</f>
      </c>
      <c r="G102" s="11"/>
      <c r="H102" s="3">
        <f>IF(B102="","",IF(C102="","כן","לא"))</f>
      </c>
      <c r="I102" s="3">
        <f>IF(B102="","",IF(D102=0,"כן","לא"))</f>
      </c>
      <c r="J102" s="3">
        <f>IF(B102="","",IF(F102&gt;0,"כן","לא"))</f>
      </c>
    </row>
    <row r="103" spans="1:10" x14ac:dyDescent="0.25">
      <c r="A103" s="11"/>
      <c r="B103" s="11"/>
      <c r="C103" s="11"/>
      <c r="D103" s="11"/>
      <c r="E103" s="11"/>
      <c r="F103" s="3">
        <f>IF(B103="","",MAX(0,D103-E103))</f>
      </c>
      <c r="G103" s="11"/>
      <c r="H103" s="3">
        <f>IF(B103="","",IF(C103="","כן","לא"))</f>
      </c>
      <c r="I103" s="3">
        <f>IF(B103="","",IF(D103=0,"כן","לא"))</f>
      </c>
      <c r="J103" s="3">
        <f>IF(B103="","",IF(F103&gt;0,"כן","לא"))</f>
      </c>
    </row>
    <row r="104" spans="1:10" x14ac:dyDescent="0.25">
      <c r="A104" s="11"/>
      <c r="B104" s="11"/>
      <c r="C104" s="11"/>
      <c r="D104" s="11"/>
      <c r="E104" s="11"/>
      <c r="F104" s="3">
        <f>IF(B104="","",MAX(0,D104-E104))</f>
      </c>
      <c r="G104" s="11"/>
      <c r="H104" s="3">
        <f>IF(B104="","",IF(C104="","כן","לא"))</f>
      </c>
      <c r="I104" s="3">
        <f>IF(B104="","",IF(D104=0,"כן","לא"))</f>
      </c>
      <c r="J104" s="3">
        <f>IF(B104="","",IF(F104&gt;0,"כן","לא"))</f>
      </c>
    </row>
    <row r="105" spans="1:10" x14ac:dyDescent="0.25">
      <c r="A105" s="11"/>
      <c r="B105" s="11"/>
      <c r="C105" s="11"/>
      <c r="D105" s="11"/>
      <c r="E105" s="11"/>
      <c r="F105" s="3">
        <f>IF(B105="","",MAX(0,D105-E105))</f>
      </c>
      <c r="G105" s="11"/>
      <c r="H105" s="3">
        <f>IF(B105="","",IF(C105="","כן","לא"))</f>
      </c>
      <c r="I105" s="3">
        <f>IF(B105="","",IF(D105=0,"כן","לא"))</f>
      </c>
      <c r="J105" s="3">
        <f>IF(B105="","",IF(F105&gt;0,"כן","לא"))</f>
      </c>
    </row>
    <row r="106" spans="1:10" x14ac:dyDescent="0.25">
      <c r="A106" s="11"/>
      <c r="B106" s="11"/>
      <c r="C106" s="11"/>
      <c r="D106" s="11"/>
      <c r="E106" s="11"/>
      <c r="F106" s="3">
        <f>IF(B106="","",MAX(0,D106-E106))</f>
      </c>
      <c r="G106" s="11"/>
      <c r="H106" s="3">
        <f>IF(B106="","",IF(C106="","כן","לא"))</f>
      </c>
      <c r="I106" s="3">
        <f>IF(B106="","",IF(D106=0,"כן","לא"))</f>
      </c>
      <c r="J106" s="3">
        <f>IF(B106="","",IF(F106&gt;0,"כן","לא"))</f>
      </c>
    </row>
    <row r="107" spans="1:10" x14ac:dyDescent="0.25">
      <c r="A107" s="11"/>
      <c r="B107" s="11"/>
      <c r="C107" s="11"/>
      <c r="D107" s="11"/>
      <c r="E107" s="11"/>
      <c r="F107" s="3">
        <f>IF(B107="","",MAX(0,D107-E107))</f>
      </c>
      <c r="G107" s="11"/>
      <c r="H107" s="3">
        <f>IF(B107="","",IF(C107="","כן","לא"))</f>
      </c>
      <c r="I107" s="3">
        <f>IF(B107="","",IF(D107=0,"כן","לא"))</f>
      </c>
      <c r="J107" s="3">
        <f>IF(B107="","",IF(F107&gt;0,"כן","לא"))</f>
      </c>
    </row>
    <row r="108" spans="1:10" x14ac:dyDescent="0.25">
      <c r="A108" s="11"/>
      <c r="B108" s="11"/>
      <c r="C108" s="11"/>
      <c r="D108" s="11"/>
      <c r="E108" s="11"/>
      <c r="F108" s="3">
        <f>IF(B108="","",MAX(0,D108-E108))</f>
      </c>
      <c r="G108" s="11"/>
      <c r="H108" s="3">
        <f>IF(B108="","",IF(C108="","כן","לא"))</f>
      </c>
      <c r="I108" s="3">
        <f>IF(B108="","",IF(D108=0,"כן","לא"))</f>
      </c>
      <c r="J108" s="3">
        <f>IF(B108="","",IF(F108&gt;0,"כן","לא"))</f>
      </c>
    </row>
    <row r="109" spans="1:10" x14ac:dyDescent="0.25">
      <c r="A109" s="11"/>
      <c r="B109" s="11"/>
      <c r="C109" s="11"/>
      <c r="D109" s="11"/>
      <c r="E109" s="11"/>
      <c r="F109" s="3">
        <f>IF(B109="","",MAX(0,D109-E109))</f>
      </c>
      <c r="G109" s="11"/>
      <c r="H109" s="3">
        <f>IF(B109="","",IF(C109="","כן","לא"))</f>
      </c>
      <c r="I109" s="3">
        <f>IF(B109="","",IF(D109=0,"כן","לא"))</f>
      </c>
      <c r="J109" s="3">
        <f>IF(B109="","",IF(F109&gt;0,"כן","לא"))</f>
      </c>
    </row>
    <row r="110" spans="1:10" x14ac:dyDescent="0.25">
      <c r="A110" s="11"/>
      <c r="B110" s="11"/>
      <c r="C110" s="11"/>
      <c r="D110" s="11"/>
      <c r="E110" s="11"/>
      <c r="F110" s="3">
        <f>IF(B110="","",MAX(0,D110-E110))</f>
      </c>
      <c r="G110" s="11"/>
      <c r="H110" s="3">
        <f>IF(B110="","",IF(C110="","כן","לא"))</f>
      </c>
      <c r="I110" s="3">
        <f>IF(B110="","",IF(D110=0,"כן","לא"))</f>
      </c>
      <c r="J110" s="3">
        <f>IF(B110="","",IF(F110&gt;0,"כן","לא"))</f>
      </c>
    </row>
    <row r="111" spans="1:10" x14ac:dyDescent="0.25">
      <c r="A111" s="11"/>
      <c r="B111" s="11"/>
      <c r="C111" s="11"/>
      <c r="D111" s="11"/>
      <c r="E111" s="11"/>
      <c r="F111" s="3">
        <f>IF(B111="","",MAX(0,D111-E111))</f>
      </c>
      <c r="G111" s="11"/>
      <c r="H111" s="3">
        <f>IF(B111="","",IF(C111="","כן","לא"))</f>
      </c>
      <c r="I111" s="3">
        <f>IF(B111="","",IF(D111=0,"כן","לא"))</f>
      </c>
      <c r="J111" s="3">
        <f>IF(B111="","",IF(F111&gt;0,"כן","לא"))</f>
      </c>
    </row>
    <row r="112" spans="1:10" x14ac:dyDescent="0.25">
      <c r="A112" s="11"/>
      <c r="B112" s="11"/>
      <c r="C112" s="11"/>
      <c r="D112" s="11"/>
      <c r="E112" s="11"/>
      <c r="F112" s="3">
        <f>IF(B112="","",MAX(0,D112-E112))</f>
      </c>
      <c r="G112" s="11"/>
      <c r="H112" s="3">
        <f>IF(B112="","",IF(C112="","כן","לא"))</f>
      </c>
      <c r="I112" s="3">
        <f>IF(B112="","",IF(D112=0,"כן","לא"))</f>
      </c>
      <c r="J112" s="3">
        <f>IF(B112="","",IF(F112&gt;0,"כן","לא"))</f>
      </c>
    </row>
    <row r="113" spans="1:10" x14ac:dyDescent="0.25">
      <c r="A113" s="11"/>
      <c r="B113" s="11"/>
      <c r="C113" s="11"/>
      <c r="D113" s="11"/>
      <c r="E113" s="11"/>
      <c r="F113" s="3">
        <f>IF(B113="","",MAX(0,D113-E113))</f>
      </c>
      <c r="G113" s="11"/>
      <c r="H113" s="3">
        <f>IF(B113="","",IF(C113="","כן","לא"))</f>
      </c>
      <c r="I113" s="3">
        <f>IF(B113="","",IF(D113=0,"כן","לא"))</f>
      </c>
      <c r="J113" s="3">
        <f>IF(B113="","",IF(F113&gt;0,"כן","לא"))</f>
      </c>
    </row>
    <row r="114" spans="1:10" x14ac:dyDescent="0.25">
      <c r="A114" s="11"/>
      <c r="B114" s="11"/>
      <c r="C114" s="11"/>
      <c r="D114" s="11"/>
      <c r="E114" s="11"/>
      <c r="F114" s="3">
        <f>IF(B114="","",MAX(0,D114-E114))</f>
      </c>
      <c r="G114" s="11"/>
      <c r="H114" s="3">
        <f>IF(B114="","",IF(C114="","כן","לא"))</f>
      </c>
      <c r="I114" s="3">
        <f>IF(B114="","",IF(D114=0,"כן","לא"))</f>
      </c>
      <c r="J114" s="3">
        <f>IF(B114="","",IF(F114&gt;0,"כן","לא"))</f>
      </c>
    </row>
    <row r="115" spans="1:10" x14ac:dyDescent="0.25">
      <c r="A115" s="11"/>
      <c r="B115" s="11"/>
      <c r="C115" s="11"/>
      <c r="D115" s="11"/>
      <c r="E115" s="11"/>
      <c r="F115" s="3">
        <f>IF(B115="","",MAX(0,D115-E115))</f>
      </c>
      <c r="G115" s="11"/>
      <c r="H115" s="3">
        <f>IF(B115="","",IF(C115="","כן","לא"))</f>
      </c>
      <c r="I115" s="3">
        <f>IF(B115="","",IF(D115=0,"כן","לא"))</f>
      </c>
      <c r="J115" s="3">
        <f>IF(B115="","",IF(F115&gt;0,"כן","לא"))</f>
      </c>
    </row>
    <row r="116" spans="1:10" x14ac:dyDescent="0.25">
      <c r="A116" s="11"/>
      <c r="B116" s="11"/>
      <c r="C116" s="11"/>
      <c r="D116" s="11"/>
      <c r="E116" s="11"/>
      <c r="F116" s="3">
        <f>IF(B116="","",MAX(0,D116-E116))</f>
      </c>
      <c r="G116" s="11"/>
      <c r="H116" s="3">
        <f>IF(B116="","",IF(C116="","כן","לא"))</f>
      </c>
      <c r="I116" s="3">
        <f>IF(B116="","",IF(D116=0,"כן","לא"))</f>
      </c>
      <c r="J116" s="3">
        <f>IF(B116="","",IF(F116&gt;0,"כן","לא"))</f>
      </c>
    </row>
    <row r="117" spans="1:10" x14ac:dyDescent="0.25">
      <c r="A117" s="11"/>
      <c r="B117" s="11"/>
      <c r="C117" s="11"/>
      <c r="D117" s="11"/>
      <c r="E117" s="11"/>
      <c r="F117" s="3">
        <f>IF(B117="","",MAX(0,D117-E117))</f>
      </c>
      <c r="G117" s="11"/>
      <c r="H117" s="3">
        <f>IF(B117="","",IF(C117="","כן","לא"))</f>
      </c>
      <c r="I117" s="3">
        <f>IF(B117="","",IF(D117=0,"כן","לא"))</f>
      </c>
      <c r="J117" s="3">
        <f>IF(B117="","",IF(F117&gt;0,"כן","לא"))</f>
      </c>
    </row>
    <row r="118" spans="1:10" x14ac:dyDescent="0.25">
      <c r="A118" s="11"/>
      <c r="B118" s="11"/>
      <c r="C118" s="11"/>
      <c r="D118" s="11"/>
      <c r="E118" s="11"/>
      <c r="F118" s="3">
        <f>IF(B118="","",MAX(0,D118-E118))</f>
      </c>
      <c r="G118" s="11"/>
      <c r="H118" s="3">
        <f>IF(B118="","",IF(C118="","כן","לא"))</f>
      </c>
      <c r="I118" s="3">
        <f>IF(B118="","",IF(D118=0,"כן","לא"))</f>
      </c>
      <c r="J118" s="3">
        <f>IF(B118="","",IF(F118&gt;0,"כן","לא"))</f>
      </c>
    </row>
    <row r="119" spans="1:10" x14ac:dyDescent="0.25">
      <c r="A119" s="11"/>
      <c r="B119" s="11"/>
      <c r="C119" s="11"/>
      <c r="D119" s="11"/>
      <c r="E119" s="11"/>
      <c r="F119" s="3">
        <f>IF(B119="","",MAX(0,D119-E119))</f>
      </c>
      <c r="G119" s="11"/>
      <c r="H119" s="3">
        <f>IF(B119="","",IF(C119="","כן","לא"))</f>
      </c>
      <c r="I119" s="3">
        <f>IF(B119="","",IF(D119=0,"כן","לא"))</f>
      </c>
      <c r="J119" s="3">
        <f>IF(B119="","",IF(F119&gt;0,"כן","לא"))</f>
      </c>
    </row>
    <row r="120" spans="1:10" x14ac:dyDescent="0.25">
      <c r="A120" s="11"/>
      <c r="B120" s="11"/>
      <c r="C120" s="11"/>
      <c r="D120" s="11"/>
      <c r="E120" s="11"/>
      <c r="F120" s="3">
        <f>IF(B120="","",MAX(0,D120-E120))</f>
      </c>
      <c r="G120" s="11"/>
      <c r="H120" s="3">
        <f>IF(B120="","",IF(C120="","כן","לא"))</f>
      </c>
      <c r="I120" s="3">
        <f>IF(B120="","",IF(D120=0,"כן","לא"))</f>
      </c>
      <c r="J120" s="3">
        <f>IF(B120="","",IF(F120&gt;0,"כן","לא"))</f>
      </c>
    </row>
    <row r="121" spans="1:10" x14ac:dyDescent="0.25">
      <c r="A121" s="11"/>
      <c r="B121" s="11"/>
      <c r="C121" s="11"/>
      <c r="D121" s="11"/>
      <c r="E121" s="11"/>
      <c r="F121" s="3">
        <f>IF(B121="","",MAX(0,D121-E121))</f>
      </c>
      <c r="G121" s="11"/>
      <c r="H121" s="3">
        <f>IF(B121="","",IF(C121="","כן","לא"))</f>
      </c>
      <c r="I121" s="3">
        <f>IF(B121="","",IF(D121=0,"כן","לא"))</f>
      </c>
      <c r="J121" s="3">
        <f>IF(B121="","",IF(F121&gt;0,"כן","לא"))</f>
      </c>
    </row>
    <row r="122" spans="1:10" x14ac:dyDescent="0.25">
      <c r="A122" s="11"/>
      <c r="B122" s="11"/>
      <c r="C122" s="11"/>
      <c r="D122" s="11"/>
      <c r="E122" s="11"/>
      <c r="F122" s="3">
        <f>IF(B122="","",MAX(0,D122-E122))</f>
      </c>
      <c r="G122" s="11"/>
      <c r="H122" s="3">
        <f>IF(B122="","",IF(C122="","כן","לא"))</f>
      </c>
      <c r="I122" s="3">
        <f>IF(B122="","",IF(D122=0,"כן","לא"))</f>
      </c>
      <c r="J122" s="3">
        <f>IF(B122="","",IF(F122&gt;0,"כן","לא"))</f>
      </c>
    </row>
    <row r="123" spans="1:10" x14ac:dyDescent="0.25">
      <c r="A123" s="11"/>
      <c r="B123" s="11"/>
      <c r="C123" s="11"/>
      <c r="D123" s="11"/>
      <c r="E123" s="11"/>
      <c r="F123" s="3">
        <f>IF(B123="","",MAX(0,D123-E123))</f>
      </c>
      <c r="G123" s="11"/>
      <c r="H123" s="3">
        <f>IF(B123="","",IF(C123="","כן","לא"))</f>
      </c>
      <c r="I123" s="3">
        <f>IF(B123="","",IF(D123=0,"כן","לא"))</f>
      </c>
      <c r="J123" s="3">
        <f>IF(B123="","",IF(F123&gt;0,"כן","לא"))</f>
      </c>
    </row>
    <row r="124" spans="1:10" x14ac:dyDescent="0.25">
      <c r="A124" s="11"/>
      <c r="B124" s="11"/>
      <c r="C124" s="11"/>
      <c r="D124" s="11"/>
      <c r="E124" s="11"/>
      <c r="F124" s="3">
        <f>IF(B124="","",MAX(0,D124-E124))</f>
      </c>
      <c r="G124" s="11"/>
      <c r="H124" s="3">
        <f>IF(B124="","",IF(C124="","כן","לא"))</f>
      </c>
      <c r="I124" s="3">
        <f>IF(B124="","",IF(D124=0,"כן","לא"))</f>
      </c>
      <c r="J124" s="3">
        <f>IF(B124="","",IF(F124&gt;0,"כן","לא"))</f>
      </c>
    </row>
    <row r="125" spans="1:10" x14ac:dyDescent="0.25">
      <c r="A125" s="11"/>
      <c r="B125" s="11"/>
      <c r="C125" s="11"/>
      <c r="D125" s="11"/>
      <c r="E125" s="11"/>
      <c r="F125" s="3">
        <f>IF(B125="","",MAX(0,D125-E125))</f>
      </c>
      <c r="G125" s="11"/>
      <c r="H125" s="3">
        <f>IF(B125="","",IF(C125="","כן","לא"))</f>
      </c>
      <c r="I125" s="3">
        <f>IF(B125="","",IF(D125=0,"כן","לא"))</f>
      </c>
      <c r="J125" s="3">
        <f>IF(B125="","",IF(F125&gt;0,"כן","לא"))</f>
      </c>
    </row>
    <row r="126" spans="1:10" x14ac:dyDescent="0.25">
      <c r="A126" s="11"/>
      <c r="B126" s="11"/>
      <c r="C126" s="11"/>
      <c r="D126" s="11"/>
      <c r="E126" s="11"/>
      <c r="F126" s="3">
        <f>IF(B126="","",MAX(0,D126-E126))</f>
      </c>
      <c r="G126" s="11"/>
      <c r="H126" s="3">
        <f>IF(B126="","",IF(C126="","כן","לא"))</f>
      </c>
      <c r="I126" s="3">
        <f>IF(B126="","",IF(D126=0,"כן","לא"))</f>
      </c>
      <c r="J126" s="3">
        <f>IF(B126="","",IF(F126&gt;0,"כן","לא"))</f>
      </c>
    </row>
    <row r="127" spans="1:10" x14ac:dyDescent="0.25">
      <c r="A127" s="11"/>
      <c r="B127" s="11"/>
      <c r="C127" s="11"/>
      <c r="D127" s="11"/>
      <c r="E127" s="11"/>
      <c r="F127" s="3">
        <f>IF(B127="","",MAX(0,D127-E127))</f>
      </c>
      <c r="G127" s="11"/>
      <c r="H127" s="3">
        <f>IF(B127="","",IF(C127="","כן","לא"))</f>
      </c>
      <c r="I127" s="3">
        <f>IF(B127="","",IF(D127=0,"כן","לא"))</f>
      </c>
      <c r="J127" s="3">
        <f>IF(B127="","",IF(F127&gt;0,"כן","לא"))</f>
      </c>
    </row>
    <row r="128" spans="1:10" x14ac:dyDescent="0.25">
      <c r="A128" s="11"/>
      <c r="B128" s="11"/>
      <c r="C128" s="11"/>
      <c r="D128" s="11"/>
      <c r="E128" s="11"/>
      <c r="F128" s="3">
        <f>IF(B128="","",MAX(0,D128-E128))</f>
      </c>
      <c r="G128" s="11"/>
      <c r="H128" s="3">
        <f>IF(B128="","",IF(C128="","כן","לא"))</f>
      </c>
      <c r="I128" s="3">
        <f>IF(B128="","",IF(D128=0,"כן","לא"))</f>
      </c>
      <c r="J128" s="3">
        <f>IF(B128="","",IF(F128&gt;0,"כן","לא"))</f>
      </c>
    </row>
    <row r="129" spans="1:10" x14ac:dyDescent="0.25">
      <c r="A129" s="11"/>
      <c r="B129" s="11"/>
      <c r="C129" s="11"/>
      <c r="D129" s="11"/>
      <c r="E129" s="11"/>
      <c r="F129" s="3">
        <f>IF(B129="","",MAX(0,D129-E129))</f>
      </c>
      <c r="G129" s="11"/>
      <c r="H129" s="3">
        <f>IF(B129="","",IF(C129="","כן","לא"))</f>
      </c>
      <c r="I129" s="3">
        <f>IF(B129="","",IF(D129=0,"כן","לא"))</f>
      </c>
      <c r="J129" s="3">
        <f>IF(B129="","",IF(F129&gt;0,"כן","לא"))</f>
      </c>
    </row>
    <row r="130" spans="1:10" x14ac:dyDescent="0.25">
      <c r="A130" s="11"/>
      <c r="B130" s="11"/>
      <c r="C130" s="11"/>
      <c r="D130" s="11"/>
      <c r="E130" s="11"/>
      <c r="F130" s="3">
        <f>IF(B130="","",MAX(0,D130-E130))</f>
      </c>
      <c r="G130" s="11"/>
      <c r="H130" s="3">
        <f>IF(B130="","",IF(C130="","כן","לא"))</f>
      </c>
      <c r="I130" s="3">
        <f>IF(B130="","",IF(D130=0,"כן","לא"))</f>
      </c>
      <c r="J130" s="3">
        <f>IF(B130="","",IF(F130&gt;0,"כן","לא"))</f>
      </c>
    </row>
    <row r="131" spans="1:10" x14ac:dyDescent="0.25">
      <c r="A131" s="11"/>
      <c r="B131" s="11"/>
      <c r="C131" s="11"/>
      <c r="D131" s="11"/>
      <c r="E131" s="11"/>
      <c r="F131" s="3">
        <f>IF(B131="","",MAX(0,D131-E131))</f>
      </c>
      <c r="G131" s="11"/>
      <c r="H131" s="3">
        <f>IF(B131="","",IF(C131="","כן","לא"))</f>
      </c>
      <c r="I131" s="3">
        <f>IF(B131="","",IF(D131=0,"כן","לא"))</f>
      </c>
      <c r="J131" s="3">
        <f>IF(B131="","",IF(F131&gt;0,"כן","לא"))</f>
      </c>
    </row>
    <row r="132" spans="1:10" x14ac:dyDescent="0.25">
      <c r="A132" s="11"/>
      <c r="B132" s="11"/>
      <c r="C132" s="11"/>
      <c r="D132" s="11"/>
      <c r="E132" s="11"/>
      <c r="F132" s="3">
        <f>IF(B132="","",MAX(0,D132-E132))</f>
      </c>
      <c r="G132" s="11"/>
      <c r="H132" s="3">
        <f>IF(B132="","",IF(C132="","כן","לא"))</f>
      </c>
      <c r="I132" s="3">
        <f>IF(B132="","",IF(D132=0,"כן","לא"))</f>
      </c>
      <c r="J132" s="3">
        <f>IF(B132="","",IF(F132&gt;0,"כן","לא"))</f>
      </c>
    </row>
    <row r="133" spans="1:10" x14ac:dyDescent="0.25">
      <c r="A133" s="11"/>
      <c r="B133" s="11"/>
      <c r="C133" s="11"/>
      <c r="D133" s="11"/>
      <c r="E133" s="11"/>
      <c r="F133" s="3">
        <f>IF(B133="","",MAX(0,D133-E133))</f>
      </c>
      <c r="G133" s="11"/>
      <c r="H133" s="3">
        <f>IF(B133="","",IF(C133="","כן","לא"))</f>
      </c>
      <c r="I133" s="3">
        <f>IF(B133="","",IF(D133=0,"כן","לא"))</f>
      </c>
      <c r="J133" s="3">
        <f>IF(B133="","",IF(F133&gt;0,"כן","לא"))</f>
      </c>
    </row>
    <row r="134" spans="1:10" x14ac:dyDescent="0.25">
      <c r="A134" s="11"/>
      <c r="B134" s="11"/>
      <c r="C134" s="11"/>
      <c r="D134" s="11"/>
      <c r="E134" s="11"/>
      <c r="F134" s="3">
        <f>IF(B134="","",MAX(0,D134-E134))</f>
      </c>
      <c r="G134" s="11"/>
      <c r="H134" s="3">
        <f>IF(B134="","",IF(C134="","כן","לא"))</f>
      </c>
      <c r="I134" s="3">
        <f>IF(B134="","",IF(D134=0,"כן","לא"))</f>
      </c>
      <c r="J134" s="3">
        <f>IF(B134="","",IF(F134&gt;0,"כן","לא"))</f>
      </c>
    </row>
    <row r="135" spans="1:10" x14ac:dyDescent="0.25">
      <c r="A135" s="11"/>
      <c r="B135" s="11"/>
      <c r="C135" s="11"/>
      <c r="D135" s="11"/>
      <c r="E135" s="11"/>
      <c r="F135" s="3">
        <f>IF(B135="","",MAX(0,D135-E135))</f>
      </c>
      <c r="G135" s="11"/>
      <c r="H135" s="3">
        <f>IF(B135="","",IF(C135="","כן","לא"))</f>
      </c>
      <c r="I135" s="3">
        <f>IF(B135="","",IF(D135=0,"כן","לא"))</f>
      </c>
      <c r="J135" s="3">
        <f>IF(B135="","",IF(F135&gt;0,"כן","לא"))</f>
      </c>
    </row>
    <row r="136" spans="1:10" x14ac:dyDescent="0.25">
      <c r="A136" s="11"/>
      <c r="B136" s="11"/>
      <c r="C136" s="11"/>
      <c r="D136" s="11"/>
      <c r="E136" s="11"/>
      <c r="F136" s="3">
        <f>IF(B136="","",MAX(0,D136-E136))</f>
      </c>
      <c r="G136" s="11"/>
      <c r="H136" s="3">
        <f>IF(B136="","",IF(C136="","כן","לא"))</f>
      </c>
      <c r="I136" s="3">
        <f>IF(B136="","",IF(D136=0,"כן","לא"))</f>
      </c>
      <c r="J136" s="3">
        <f>IF(B136="","",IF(F136&gt;0,"כן","לא"))</f>
      </c>
    </row>
    <row r="137" spans="1:10" x14ac:dyDescent="0.25">
      <c r="A137" s="11"/>
      <c r="B137" s="11"/>
      <c r="C137" s="11"/>
      <c r="D137" s="11"/>
      <c r="E137" s="11"/>
      <c r="F137" s="3">
        <f>IF(B137="","",MAX(0,D137-E137))</f>
      </c>
      <c r="G137" s="11"/>
      <c r="H137" s="3">
        <f>IF(B137="","",IF(C137="","כן","לא"))</f>
      </c>
      <c r="I137" s="3">
        <f>IF(B137="","",IF(D137=0,"כן","לא"))</f>
      </c>
      <c r="J137" s="3">
        <f>IF(B137="","",IF(F137&gt;0,"כן","לא"))</f>
      </c>
    </row>
    <row r="138" spans="1:10" x14ac:dyDescent="0.25">
      <c r="A138" s="11"/>
      <c r="B138" s="11"/>
      <c r="C138" s="11"/>
      <c r="D138" s="11"/>
      <c r="E138" s="11"/>
      <c r="F138" s="3">
        <f>IF(B138="","",MAX(0,D138-E138))</f>
      </c>
      <c r="G138" s="11"/>
      <c r="H138" s="3">
        <f>IF(B138="","",IF(C138="","כן","לא"))</f>
      </c>
      <c r="I138" s="3">
        <f>IF(B138="","",IF(D138=0,"כן","לא"))</f>
      </c>
      <c r="J138" s="3">
        <f>IF(B138="","",IF(F138&gt;0,"כן","לא"))</f>
      </c>
    </row>
    <row r="139" spans="1:10" x14ac:dyDescent="0.25">
      <c r="A139" s="11"/>
      <c r="B139" s="11"/>
      <c r="C139" s="11"/>
      <c r="D139" s="11"/>
      <c r="E139" s="11"/>
      <c r="F139" s="3">
        <f>IF(B139="","",MAX(0,D139-E139))</f>
      </c>
      <c r="G139" s="11"/>
      <c r="H139" s="3">
        <f>IF(B139="","",IF(C139="","כן","לא"))</f>
      </c>
      <c r="I139" s="3">
        <f>IF(B139="","",IF(D139=0,"כן","לא"))</f>
      </c>
      <c r="J139" s="3">
        <f>IF(B139="","",IF(F139&gt;0,"כן","לא"))</f>
      </c>
    </row>
    <row r="140" spans="1:10" x14ac:dyDescent="0.25">
      <c r="A140" s="11"/>
      <c r="B140" s="11"/>
      <c r="C140" s="11"/>
      <c r="D140" s="11"/>
      <c r="E140" s="11"/>
      <c r="F140" s="3">
        <f>IF(B140="","",MAX(0,D140-E140))</f>
      </c>
      <c r="G140" s="11"/>
      <c r="H140" s="3">
        <f>IF(B140="","",IF(C140="","כן","לא"))</f>
      </c>
      <c r="I140" s="3">
        <f>IF(B140="","",IF(D140=0,"כן","לא"))</f>
      </c>
      <c r="J140" s="3">
        <f>IF(B140="","",IF(F140&gt;0,"כן","לא"))</f>
      </c>
    </row>
    <row r="141" spans="1:10" x14ac:dyDescent="0.25">
      <c r="A141" s="11"/>
      <c r="B141" s="11"/>
      <c r="C141" s="11"/>
      <c r="D141" s="11"/>
      <c r="E141" s="11"/>
      <c r="F141" s="3">
        <f>IF(B141="","",MAX(0,D141-E141))</f>
      </c>
      <c r="G141" s="11"/>
      <c r="H141" s="3">
        <f>IF(B141="","",IF(C141="","כן","לא"))</f>
      </c>
      <c r="I141" s="3">
        <f>IF(B141="","",IF(D141=0,"כן","לא"))</f>
      </c>
      <c r="J141" s="3">
        <f>IF(B141="","",IF(F141&gt;0,"כן","לא"))</f>
      </c>
    </row>
    <row r="142" spans="1:10" x14ac:dyDescent="0.25">
      <c r="A142" s="11"/>
      <c r="B142" s="11"/>
      <c r="C142" s="11"/>
      <c r="D142" s="11"/>
      <c r="E142" s="11"/>
      <c r="F142" s="3">
        <f>IF(B142="","",MAX(0,D142-E142))</f>
      </c>
      <c r="G142" s="11"/>
      <c r="H142" s="3">
        <f>IF(B142="","",IF(C142="","כן","לא"))</f>
      </c>
      <c r="I142" s="3">
        <f>IF(B142="","",IF(D142=0,"כן","לא"))</f>
      </c>
      <c r="J142" s="3">
        <f>IF(B142="","",IF(F142&gt;0,"כן","לא"))</f>
      </c>
    </row>
    <row r="143" spans="1:10" x14ac:dyDescent="0.25">
      <c r="A143" s="11"/>
      <c r="B143" s="11"/>
      <c r="C143" s="11"/>
      <c r="D143" s="11"/>
      <c r="E143" s="11"/>
      <c r="F143" s="3">
        <f>IF(B143="","",MAX(0,D143-E143))</f>
      </c>
      <c r="G143" s="11"/>
      <c r="H143" s="3">
        <f>IF(B143="","",IF(C143="","כן","לא"))</f>
      </c>
      <c r="I143" s="3">
        <f>IF(B143="","",IF(D143=0,"כן","לא"))</f>
      </c>
      <c r="J143" s="3">
        <f>IF(B143="","",IF(F143&gt;0,"כן","לא"))</f>
      </c>
    </row>
    <row r="144" spans="1:10" x14ac:dyDescent="0.25">
      <c r="A144" s="11"/>
      <c r="B144" s="11"/>
      <c r="C144" s="11"/>
      <c r="D144" s="11"/>
      <c r="E144" s="11"/>
      <c r="F144" s="3">
        <f>IF(B144="","",MAX(0,D144-E144))</f>
      </c>
      <c r="G144" s="11"/>
      <c r="H144" s="3">
        <f>IF(B144="","",IF(C144="","כן","לא"))</f>
      </c>
      <c r="I144" s="3">
        <f>IF(B144="","",IF(D144=0,"כן","לא"))</f>
      </c>
      <c r="J144" s="3">
        <f>IF(B144="","",IF(F144&gt;0,"כן","לא"))</f>
      </c>
    </row>
    <row r="145" spans="1:10" x14ac:dyDescent="0.25">
      <c r="A145" s="11"/>
      <c r="B145" s="11"/>
      <c r="C145" s="11"/>
      <c r="D145" s="11"/>
      <c r="E145" s="11"/>
      <c r="F145" s="3">
        <f>IF(B145="","",MAX(0,D145-E145))</f>
      </c>
      <c r="G145" s="11"/>
      <c r="H145" s="3">
        <f>IF(B145="","",IF(C145="","כן","לא"))</f>
      </c>
      <c r="I145" s="3">
        <f>IF(B145="","",IF(D145=0,"כן","לא"))</f>
      </c>
      <c r="J145" s="3">
        <f>IF(B145="","",IF(F145&gt;0,"כן","לא"))</f>
      </c>
    </row>
    <row r="146" spans="1:10" x14ac:dyDescent="0.25">
      <c r="A146" s="11"/>
      <c r="B146" s="11"/>
      <c r="C146" s="11"/>
      <c r="D146" s="11"/>
      <c r="E146" s="11"/>
      <c r="F146" s="3">
        <f>IF(B146="","",MAX(0,D146-E146))</f>
      </c>
      <c r="G146" s="11"/>
      <c r="H146" s="3">
        <f>IF(B146="","",IF(C146="","כן","לא"))</f>
      </c>
      <c r="I146" s="3">
        <f>IF(B146="","",IF(D146=0,"כן","לא"))</f>
      </c>
      <c r="J146" s="3">
        <f>IF(B146="","",IF(F146&gt;0,"כן","לא"))</f>
      </c>
    </row>
    <row r="147" spans="1:10" x14ac:dyDescent="0.25">
      <c r="A147" s="11"/>
      <c r="B147" s="11"/>
      <c r="C147" s="11"/>
      <c r="D147" s="11"/>
      <c r="E147" s="11"/>
      <c r="F147" s="3">
        <f>IF(B147="","",MAX(0,D147-E147))</f>
      </c>
      <c r="G147" s="11"/>
      <c r="H147" s="3">
        <f>IF(B147="","",IF(C147="","כן","לא"))</f>
      </c>
      <c r="I147" s="3">
        <f>IF(B147="","",IF(D147=0,"כן","לא"))</f>
      </c>
      <c r="J147" s="3">
        <f>IF(B147="","",IF(F147&gt;0,"כן","לא"))</f>
      </c>
    </row>
    <row r="148" spans="1:10" x14ac:dyDescent="0.25">
      <c r="A148" s="11"/>
      <c r="B148" s="11"/>
      <c r="C148" s="11"/>
      <c r="D148" s="11"/>
      <c r="E148" s="11"/>
      <c r="F148" s="3">
        <f>IF(B148="","",MAX(0,D148-E148))</f>
      </c>
      <c r="G148" s="11"/>
      <c r="H148" s="3">
        <f>IF(B148="","",IF(C148="","כן","לא"))</f>
      </c>
      <c r="I148" s="3">
        <f>IF(B148="","",IF(D148=0,"כן","לא"))</f>
      </c>
      <c r="J148" s="3">
        <f>IF(B148="","",IF(F148&gt;0,"כן","לא"))</f>
      </c>
    </row>
    <row r="149" spans="1:10" x14ac:dyDescent="0.25">
      <c r="A149" s="11"/>
      <c r="B149" s="11"/>
      <c r="C149" s="11"/>
      <c r="D149" s="11"/>
      <c r="E149" s="11"/>
      <c r="F149" s="3">
        <f>IF(B149="","",MAX(0,D149-E149))</f>
      </c>
      <c r="G149" s="11"/>
      <c r="H149" s="3">
        <f>IF(B149="","",IF(C149="","כן","לא"))</f>
      </c>
      <c r="I149" s="3">
        <f>IF(B149="","",IF(D149=0,"כן","לא"))</f>
      </c>
      <c r="J149" s="3">
        <f>IF(B149="","",IF(F149&gt;0,"כן","לא"))</f>
      </c>
    </row>
    <row r="150" spans="1:10" x14ac:dyDescent="0.25">
      <c r="A150" s="11"/>
      <c r="B150" s="11"/>
      <c r="C150" s="11"/>
      <c r="D150" s="11"/>
      <c r="E150" s="11"/>
      <c r="F150" s="3">
        <f>IF(B150="","",MAX(0,D150-E150))</f>
      </c>
      <c r="G150" s="11"/>
      <c r="H150" s="3">
        <f>IF(B150="","",IF(C150="","כן","לא"))</f>
      </c>
      <c r="I150" s="3">
        <f>IF(B150="","",IF(D150=0,"כן","לא"))</f>
      </c>
      <c r="J150" s="3">
        <f>IF(B150="","",IF(F150&gt;0,"כן","לא"))</f>
      </c>
    </row>
    <row r="151" spans="1:10" x14ac:dyDescent="0.25">
      <c r="A151" s="11"/>
      <c r="B151" s="11"/>
      <c r="C151" s="11"/>
      <c r="D151" s="11"/>
      <c r="E151" s="11"/>
      <c r="F151" s="3">
        <f>IF(B151="","",MAX(0,D151-E151))</f>
      </c>
      <c r="G151" s="11"/>
      <c r="H151" s="3">
        <f>IF(B151="","",IF(C151="","כן","לא"))</f>
      </c>
      <c r="I151" s="3">
        <f>IF(B151="","",IF(D151=0,"כן","לא"))</f>
      </c>
      <c r="J151" s="3">
        <f>IF(B151="","",IF(F151&gt;0,"כן","לא"))</f>
      </c>
    </row>
    <row r="152" spans="1:10" x14ac:dyDescent="0.25">
      <c r="A152" s="11"/>
      <c r="B152" s="11"/>
      <c r="C152" s="11"/>
      <c r="D152" s="11"/>
      <c r="E152" s="11"/>
      <c r="F152" s="3">
        <f>IF(B152="","",MAX(0,D152-E152))</f>
      </c>
      <c r="G152" s="11"/>
      <c r="H152" s="3">
        <f>IF(B152="","",IF(C152="","כן","לא"))</f>
      </c>
      <c r="I152" s="3">
        <f>IF(B152="","",IF(D152=0,"כן","לא"))</f>
      </c>
      <c r="J152" s="3">
        <f>IF(B152="","",IF(F152&gt;0,"כן","לא"))</f>
      </c>
    </row>
    <row r="153" spans="1:10" x14ac:dyDescent="0.25">
      <c r="A153" s="11"/>
      <c r="B153" s="11"/>
      <c r="C153" s="11"/>
      <c r="D153" s="11"/>
      <c r="E153" s="11"/>
      <c r="F153" s="3">
        <f>IF(B153="","",MAX(0,D153-E153))</f>
      </c>
      <c r="G153" s="11"/>
      <c r="H153" s="3">
        <f>IF(B153="","",IF(C153="","כן","לא"))</f>
      </c>
      <c r="I153" s="3">
        <f>IF(B153="","",IF(D153=0,"כן","לא"))</f>
      </c>
      <c r="J153" s="3">
        <f>IF(B153="","",IF(F153&gt;0,"כן","לא"))</f>
      </c>
    </row>
    <row r="154" spans="1:10" x14ac:dyDescent="0.25">
      <c r="A154" s="11"/>
      <c r="B154" s="11"/>
      <c r="C154" s="11"/>
      <c r="D154" s="11"/>
      <c r="E154" s="11"/>
      <c r="F154" s="3">
        <f>IF(B154="","",MAX(0,D154-E154))</f>
      </c>
      <c r="G154" s="11"/>
      <c r="H154" s="3">
        <f>IF(B154="","",IF(C154="","כן","לא"))</f>
      </c>
      <c r="I154" s="3">
        <f>IF(B154="","",IF(D154=0,"כן","לא"))</f>
      </c>
      <c r="J154" s="3">
        <f>IF(B154="","",IF(F154&gt;0,"כן","לא"))</f>
      </c>
    </row>
    <row r="155" spans="1:10" x14ac:dyDescent="0.25">
      <c r="A155" s="11"/>
      <c r="B155" s="11"/>
      <c r="C155" s="11"/>
      <c r="D155" s="11"/>
      <c r="E155" s="11"/>
      <c r="F155" s="3">
        <f>IF(B155="","",MAX(0,D155-E155))</f>
      </c>
      <c r="G155" s="11"/>
      <c r="H155" s="3">
        <f>IF(B155="","",IF(C155="","כן","לא"))</f>
      </c>
      <c r="I155" s="3">
        <f>IF(B155="","",IF(D155=0,"כן","לא"))</f>
      </c>
      <c r="J155" s="3">
        <f>IF(B155="","",IF(F155&gt;0,"כן","לא"))</f>
      </c>
    </row>
    <row r="156" spans="1:10" x14ac:dyDescent="0.25">
      <c r="A156" s="11"/>
      <c r="B156" s="11"/>
      <c r="C156" s="11"/>
      <c r="D156" s="11"/>
      <c r="E156" s="11"/>
      <c r="F156" s="3">
        <f>IF(B156="","",MAX(0,D156-E156))</f>
      </c>
      <c r="G156" s="11"/>
      <c r="H156" s="3">
        <f>IF(B156="","",IF(C156="","כן","לא"))</f>
      </c>
      <c r="I156" s="3">
        <f>IF(B156="","",IF(D156=0,"כן","לא"))</f>
      </c>
      <c r="J156" s="3">
        <f>IF(B156="","",IF(F156&gt;0,"כן","לא"))</f>
      </c>
    </row>
    <row r="157" spans="1:10" x14ac:dyDescent="0.25">
      <c r="A157" s="11"/>
      <c r="B157" s="11"/>
      <c r="C157" s="11"/>
      <c r="D157" s="11"/>
      <c r="E157" s="11"/>
      <c r="F157" s="3">
        <f>IF(B157="","",MAX(0,D157-E157))</f>
      </c>
      <c r="G157" s="11"/>
      <c r="H157" s="3">
        <f>IF(B157="","",IF(C157="","כן","לא"))</f>
      </c>
      <c r="I157" s="3">
        <f>IF(B157="","",IF(D157=0,"כן","לא"))</f>
      </c>
      <c r="J157" s="3">
        <f>IF(B157="","",IF(F157&gt;0,"כן","לא"))</f>
      </c>
    </row>
    <row r="158" spans="1:10" x14ac:dyDescent="0.25">
      <c r="A158" s="11"/>
      <c r="B158" s="11"/>
      <c r="C158" s="11"/>
      <c r="D158" s="11"/>
      <c r="E158" s="11"/>
      <c r="F158" s="3">
        <f>IF(B158="","",MAX(0,D158-E158))</f>
      </c>
      <c r="G158" s="11"/>
      <c r="H158" s="3">
        <f>IF(B158="","",IF(C158="","כן","לא"))</f>
      </c>
      <c r="I158" s="3">
        <f>IF(B158="","",IF(D158=0,"כן","לא"))</f>
      </c>
      <c r="J158" s="3">
        <f>IF(B158="","",IF(F158&gt;0,"כן","לא"))</f>
      </c>
    </row>
    <row r="159" spans="1:10" x14ac:dyDescent="0.25">
      <c r="A159" s="11"/>
      <c r="B159" s="11"/>
      <c r="C159" s="11"/>
      <c r="D159" s="11"/>
      <c r="E159" s="11"/>
      <c r="F159" s="3">
        <f>IF(B159="","",MAX(0,D159-E159))</f>
      </c>
      <c r="G159" s="11"/>
      <c r="H159" s="3">
        <f>IF(B159="","",IF(C159="","כן","לא"))</f>
      </c>
      <c r="I159" s="3">
        <f>IF(B159="","",IF(D159=0,"כן","לא"))</f>
      </c>
      <c r="J159" s="3">
        <f>IF(B159="","",IF(F159&gt;0,"כן","לא"))</f>
      </c>
    </row>
    <row r="160" spans="1:10" x14ac:dyDescent="0.25">
      <c r="A160" s="11"/>
      <c r="B160" s="11"/>
      <c r="C160" s="11"/>
      <c r="D160" s="11"/>
      <c r="E160" s="11"/>
      <c r="F160" s="3">
        <f>IF(B160="","",MAX(0,D160-E160))</f>
      </c>
      <c r="G160" s="11"/>
      <c r="H160" s="3">
        <f>IF(B160="","",IF(C160="","כן","לא"))</f>
      </c>
      <c r="I160" s="3">
        <f>IF(B160="","",IF(D160=0,"כן","לא"))</f>
      </c>
      <c r="J160" s="3">
        <f>IF(B160="","",IF(F160&gt;0,"כן","לא"))</f>
      </c>
    </row>
    <row r="161" spans="1:10" x14ac:dyDescent="0.25">
      <c r="A161" s="11"/>
      <c r="B161" s="11"/>
      <c r="C161" s="11"/>
      <c r="D161" s="11"/>
      <c r="E161" s="11"/>
      <c r="F161" s="3">
        <f>IF(B161="","",MAX(0,D161-E161))</f>
      </c>
      <c r="G161" s="11"/>
      <c r="H161" s="3">
        <f>IF(B161="","",IF(C161="","כן","לא"))</f>
      </c>
      <c r="I161" s="3">
        <f>IF(B161="","",IF(D161=0,"כן","לא"))</f>
      </c>
      <c r="J161" s="3">
        <f>IF(B161="","",IF(F161&gt;0,"כן","לא"))</f>
      </c>
    </row>
    <row r="162" spans="1:10" x14ac:dyDescent="0.25">
      <c r="A162" s="11"/>
      <c r="B162" s="11"/>
      <c r="C162" s="11"/>
      <c r="D162" s="11"/>
      <c r="E162" s="11"/>
      <c r="F162" s="3">
        <f>IF(B162="","",MAX(0,D162-E162))</f>
      </c>
      <c r="G162" s="11"/>
      <c r="H162" s="3">
        <f>IF(B162="","",IF(C162="","כן","לא"))</f>
      </c>
      <c r="I162" s="3">
        <f>IF(B162="","",IF(D162=0,"כן","לא"))</f>
      </c>
      <c r="J162" s="3">
        <f>IF(B162="","",IF(F162&gt;0,"כן","לא"))</f>
      </c>
    </row>
    <row r="163" spans="1:10" x14ac:dyDescent="0.25">
      <c r="A163" s="11"/>
      <c r="B163" s="11"/>
      <c r="C163" s="11"/>
      <c r="D163" s="11"/>
      <c r="E163" s="11"/>
      <c r="F163" s="3">
        <f>IF(B163="","",MAX(0,D163-E163))</f>
      </c>
      <c r="G163" s="11"/>
      <c r="H163" s="3">
        <f>IF(B163="","",IF(C163="","כן","לא"))</f>
      </c>
      <c r="I163" s="3">
        <f>IF(B163="","",IF(D163=0,"כן","לא"))</f>
      </c>
      <c r="J163" s="3">
        <f>IF(B163="","",IF(F163&gt;0,"כן","לא"))</f>
      </c>
    </row>
    <row r="164" spans="1:10" x14ac:dyDescent="0.25">
      <c r="A164" s="11"/>
      <c r="B164" s="11"/>
      <c r="C164" s="11"/>
      <c r="D164" s="11"/>
      <c r="E164" s="11"/>
      <c r="F164" s="3">
        <f>IF(B164="","",MAX(0,D164-E164))</f>
      </c>
      <c r="G164" s="11"/>
      <c r="H164" s="3">
        <f>IF(B164="","",IF(C164="","כן","לא"))</f>
      </c>
      <c r="I164" s="3">
        <f>IF(B164="","",IF(D164=0,"כן","לא"))</f>
      </c>
      <c r="J164" s="3">
        <f>IF(B164="","",IF(F164&gt;0,"כן","לא"))</f>
      </c>
    </row>
    <row r="165" spans="1:10" x14ac:dyDescent="0.25">
      <c r="A165" s="11"/>
      <c r="B165" s="11"/>
      <c r="C165" s="11"/>
      <c r="D165" s="11"/>
      <c r="E165" s="11"/>
      <c r="F165" s="3">
        <f>IF(B165="","",MAX(0,D165-E165))</f>
      </c>
      <c r="G165" s="11"/>
      <c r="H165" s="3">
        <f>IF(B165="","",IF(C165="","כן","לא"))</f>
      </c>
      <c r="I165" s="3">
        <f>IF(B165="","",IF(D165=0,"כן","לא"))</f>
      </c>
      <c r="J165" s="3">
        <f>IF(B165="","",IF(F165&gt;0,"כן","לא"))</f>
      </c>
    </row>
    <row r="166" spans="1:10" x14ac:dyDescent="0.25">
      <c r="A166" s="11"/>
      <c r="B166" s="11"/>
      <c r="C166" s="11"/>
      <c r="D166" s="11"/>
      <c r="E166" s="11"/>
      <c r="F166" s="3">
        <f>IF(B166="","",MAX(0,D166-E166))</f>
      </c>
      <c r="G166" s="11"/>
      <c r="H166" s="3">
        <f>IF(B166="","",IF(C166="","כן","לא"))</f>
      </c>
      <c r="I166" s="3">
        <f>IF(B166="","",IF(D166=0,"כן","לא"))</f>
      </c>
      <c r="J166" s="3">
        <f>IF(B166="","",IF(F166&gt;0,"כן","לא"))</f>
      </c>
    </row>
    <row r="167" spans="1:10" x14ac:dyDescent="0.25">
      <c r="A167" s="11"/>
      <c r="B167" s="11"/>
      <c r="C167" s="11"/>
      <c r="D167" s="11"/>
      <c r="E167" s="11"/>
      <c r="F167" s="3">
        <f>IF(B167="","",MAX(0,D167-E167))</f>
      </c>
      <c r="G167" s="11"/>
      <c r="H167" s="3">
        <f>IF(B167="","",IF(C167="","כן","לא"))</f>
      </c>
      <c r="I167" s="3">
        <f>IF(B167="","",IF(D167=0,"כן","לא"))</f>
      </c>
      <c r="J167" s="3">
        <f>IF(B167="","",IF(F167&gt;0,"כן","לא"))</f>
      </c>
    </row>
    <row r="168" spans="1:10" x14ac:dyDescent="0.25">
      <c r="A168" s="11"/>
      <c r="B168" s="11"/>
      <c r="C168" s="11"/>
      <c r="D168" s="11"/>
      <c r="E168" s="11"/>
      <c r="F168" s="3">
        <f>IF(B168="","",MAX(0,D168-E168))</f>
      </c>
      <c r="G168" s="11"/>
      <c r="H168" s="3">
        <f>IF(B168="","",IF(C168="","כן","לא"))</f>
      </c>
      <c r="I168" s="3">
        <f>IF(B168="","",IF(D168=0,"כן","לא"))</f>
      </c>
      <c r="J168" s="3">
        <f>IF(B168="","",IF(F168&gt;0,"כן","לא"))</f>
      </c>
    </row>
    <row r="169" spans="1:10" x14ac:dyDescent="0.25">
      <c r="A169" s="11"/>
      <c r="B169" s="11"/>
      <c r="C169" s="11"/>
      <c r="D169" s="11"/>
      <c r="E169" s="11"/>
      <c r="F169" s="3">
        <f>IF(B169="","",MAX(0,D169-E169))</f>
      </c>
      <c r="G169" s="11"/>
      <c r="H169" s="3">
        <f>IF(B169="","",IF(C169="","כן","לא"))</f>
      </c>
      <c r="I169" s="3">
        <f>IF(B169="","",IF(D169=0,"כן","לא"))</f>
      </c>
      <c r="J169" s="3">
        <f>IF(B169="","",IF(F169&gt;0,"כן","לא"))</f>
      </c>
    </row>
    <row r="170" spans="1:10" x14ac:dyDescent="0.25">
      <c r="A170" s="11"/>
      <c r="B170" s="11"/>
      <c r="C170" s="11"/>
      <c r="D170" s="11"/>
      <c r="E170" s="11"/>
      <c r="F170" s="3">
        <f>IF(B170="","",MAX(0,D170-E170))</f>
      </c>
      <c r="G170" s="11"/>
      <c r="H170" s="3">
        <f>IF(B170="","",IF(C170="","כן","לא"))</f>
      </c>
      <c r="I170" s="3">
        <f>IF(B170="","",IF(D170=0,"כן","לא"))</f>
      </c>
      <c r="J170" s="3">
        <f>IF(B170="","",IF(F170&gt;0,"כן","לא"))</f>
      </c>
    </row>
    <row r="171" spans="1:10" x14ac:dyDescent="0.25">
      <c r="A171" s="11"/>
      <c r="B171" s="11"/>
      <c r="C171" s="11"/>
      <c r="D171" s="11"/>
      <c r="E171" s="11"/>
      <c r="F171" s="3">
        <f>IF(B171="","",MAX(0,D171-E171))</f>
      </c>
      <c r="G171" s="11"/>
      <c r="H171" s="3">
        <f>IF(B171="","",IF(C171="","כן","לא"))</f>
      </c>
      <c r="I171" s="3">
        <f>IF(B171="","",IF(D171=0,"כן","לא"))</f>
      </c>
      <c r="J171" s="3">
        <f>IF(B171="","",IF(F171&gt;0,"כן","לא"))</f>
      </c>
    </row>
    <row r="172" spans="1:10" x14ac:dyDescent="0.25">
      <c r="A172" s="11"/>
      <c r="B172" s="11"/>
      <c r="C172" s="11"/>
      <c r="D172" s="11"/>
      <c r="E172" s="11"/>
      <c r="F172" s="3">
        <f>IF(B172="","",MAX(0,D172-E172))</f>
      </c>
      <c r="G172" s="11"/>
      <c r="H172" s="3">
        <f>IF(B172="","",IF(C172="","כן","לא"))</f>
      </c>
      <c r="I172" s="3">
        <f>IF(B172="","",IF(D172=0,"כן","לא"))</f>
      </c>
      <c r="J172" s="3">
        <f>IF(B172="","",IF(F172&gt;0,"כן","לא"))</f>
      </c>
    </row>
    <row r="173" spans="1:10" x14ac:dyDescent="0.25">
      <c r="A173" s="11"/>
      <c r="B173" s="11"/>
      <c r="C173" s="11"/>
      <c r="D173" s="11"/>
      <c r="E173" s="11"/>
      <c r="F173" s="3">
        <f>IF(B173="","",MAX(0,D173-E173))</f>
      </c>
      <c r="G173" s="11"/>
      <c r="H173" s="3">
        <f>IF(B173="","",IF(C173="","כן","לא"))</f>
      </c>
      <c r="I173" s="3">
        <f>IF(B173="","",IF(D173=0,"כן","לא"))</f>
      </c>
      <c r="J173" s="3">
        <f>IF(B173="","",IF(F173&gt;0,"כן","לא"))</f>
      </c>
    </row>
    <row r="174" spans="1:10" x14ac:dyDescent="0.25">
      <c r="A174" s="11"/>
      <c r="B174" s="11"/>
      <c r="C174" s="11"/>
      <c r="D174" s="11"/>
      <c r="E174" s="11"/>
      <c r="F174" s="3">
        <f>IF(B174="","",MAX(0,D174-E174))</f>
      </c>
      <c r="G174" s="11"/>
      <c r="H174" s="3">
        <f>IF(B174="","",IF(C174="","כן","לא"))</f>
      </c>
      <c r="I174" s="3">
        <f>IF(B174="","",IF(D174=0,"כן","לא"))</f>
      </c>
      <c r="J174" s="3">
        <f>IF(B174="","",IF(F174&gt;0,"כן","לא"))</f>
      </c>
    </row>
    <row r="175" spans="1:10" x14ac:dyDescent="0.25">
      <c r="A175" s="11"/>
      <c r="B175" s="11"/>
      <c r="C175" s="11"/>
      <c r="D175" s="11"/>
      <c r="E175" s="11"/>
      <c r="F175" s="3">
        <f>IF(B175="","",MAX(0,D175-E175))</f>
      </c>
      <c r="G175" s="11"/>
      <c r="H175" s="3">
        <f>IF(B175="","",IF(C175="","כן","לא"))</f>
      </c>
      <c r="I175" s="3">
        <f>IF(B175="","",IF(D175=0,"כן","לא"))</f>
      </c>
      <c r="J175" s="3">
        <f>IF(B175="","",IF(F175&gt;0,"כן","לא"))</f>
      </c>
    </row>
    <row r="176" spans="1:10" x14ac:dyDescent="0.25">
      <c r="A176" s="11"/>
      <c r="B176" s="11"/>
      <c r="C176" s="11"/>
      <c r="D176" s="11"/>
      <c r="E176" s="11"/>
      <c r="F176" s="3">
        <f>IF(B176="","",MAX(0,D176-E176))</f>
      </c>
      <c r="G176" s="11"/>
      <c r="H176" s="3">
        <f>IF(B176="","",IF(C176="","כן","לא"))</f>
      </c>
      <c r="I176" s="3">
        <f>IF(B176="","",IF(D176=0,"כן","לא"))</f>
      </c>
      <c r="J176" s="3">
        <f>IF(B176="","",IF(F176&gt;0,"כן","לא"))</f>
      </c>
    </row>
    <row r="177" spans="1:10" x14ac:dyDescent="0.25">
      <c r="A177" s="11"/>
      <c r="B177" s="11"/>
      <c r="C177" s="11"/>
      <c r="D177" s="11"/>
      <c r="E177" s="11"/>
      <c r="F177" s="3">
        <f>IF(B177="","",MAX(0,D177-E177))</f>
      </c>
      <c r="G177" s="11"/>
      <c r="H177" s="3">
        <f>IF(B177="","",IF(C177="","כן","לא"))</f>
      </c>
      <c r="I177" s="3">
        <f>IF(B177="","",IF(D177=0,"כן","לא"))</f>
      </c>
      <c r="J177" s="3">
        <f>IF(B177="","",IF(F177&gt;0,"כן","לא"))</f>
      </c>
    </row>
    <row r="178" spans="1:10" x14ac:dyDescent="0.25">
      <c r="A178" s="11"/>
      <c r="B178" s="11"/>
      <c r="C178" s="11"/>
      <c r="D178" s="11"/>
      <c r="E178" s="11"/>
      <c r="F178" s="3">
        <f>IF(B178="","",MAX(0,D178-E178))</f>
      </c>
      <c r="G178" s="11"/>
      <c r="H178" s="3">
        <f>IF(B178="","",IF(C178="","כן","לא"))</f>
      </c>
      <c r="I178" s="3">
        <f>IF(B178="","",IF(D178=0,"כן","לא"))</f>
      </c>
      <c r="J178" s="3">
        <f>IF(B178="","",IF(F178&gt;0,"כן","לא"))</f>
      </c>
    </row>
    <row r="179" spans="1:10" x14ac:dyDescent="0.25">
      <c r="A179" s="11"/>
      <c r="B179" s="11"/>
      <c r="C179" s="11"/>
      <c r="D179" s="11"/>
      <c r="E179" s="11"/>
      <c r="F179" s="3">
        <f>IF(B179="","",MAX(0,D179-E179))</f>
      </c>
      <c r="G179" s="11"/>
      <c r="H179" s="3">
        <f>IF(B179="","",IF(C179="","כן","לא"))</f>
      </c>
      <c r="I179" s="3">
        <f>IF(B179="","",IF(D179=0,"כן","לא"))</f>
      </c>
      <c r="J179" s="3">
        <f>IF(B179="","",IF(F179&gt;0,"כן","לא"))</f>
      </c>
    </row>
    <row r="180" spans="1:10" x14ac:dyDescent="0.25">
      <c r="A180" s="11"/>
      <c r="B180" s="11"/>
      <c r="C180" s="11"/>
      <c r="D180" s="11"/>
      <c r="E180" s="11"/>
      <c r="F180" s="3">
        <f>IF(B180="","",MAX(0,D180-E180))</f>
      </c>
      <c r="G180" s="11"/>
      <c r="H180" s="3">
        <f>IF(B180="","",IF(C180="","כן","לא"))</f>
      </c>
      <c r="I180" s="3">
        <f>IF(B180="","",IF(D180=0,"כן","לא"))</f>
      </c>
      <c r="J180" s="3">
        <f>IF(B180="","",IF(F180&gt;0,"כן","לא"))</f>
      </c>
    </row>
    <row r="181" spans="1:10" x14ac:dyDescent="0.25">
      <c r="A181" s="11"/>
      <c r="B181" s="11"/>
      <c r="C181" s="11"/>
      <c r="D181" s="11"/>
      <c r="E181" s="11"/>
      <c r="F181" s="3">
        <f>IF(B181="","",MAX(0,D181-E181))</f>
      </c>
      <c r="G181" s="11"/>
      <c r="H181" s="3">
        <f>IF(B181="","",IF(C181="","כן","לא"))</f>
      </c>
      <c r="I181" s="3">
        <f>IF(B181="","",IF(D181=0,"כן","לא"))</f>
      </c>
      <c r="J181" s="3">
        <f>IF(B181="","",IF(F181&gt;0,"כן","לא"))</f>
      </c>
    </row>
    <row r="182" spans="1:10" x14ac:dyDescent="0.25">
      <c r="A182" s="11"/>
      <c r="B182" s="11"/>
      <c r="C182" s="11"/>
      <c r="D182" s="11"/>
      <c r="E182" s="11"/>
      <c r="F182" s="3">
        <f>IF(B182="","",MAX(0,D182-E182))</f>
      </c>
      <c r="G182" s="11"/>
      <c r="H182" s="3">
        <f>IF(B182="","",IF(C182="","כן","לא"))</f>
      </c>
      <c r="I182" s="3">
        <f>IF(B182="","",IF(D182=0,"כן","לא"))</f>
      </c>
      <c r="J182" s="3">
        <f>IF(B182="","",IF(F182&gt;0,"כן","לא"))</f>
      </c>
    </row>
    <row r="183" spans="1:10" x14ac:dyDescent="0.25">
      <c r="A183" s="11"/>
      <c r="B183" s="11"/>
      <c r="C183" s="11"/>
      <c r="D183" s="11"/>
      <c r="E183" s="11"/>
      <c r="F183" s="3">
        <f>IF(B183="","",MAX(0,D183-E183))</f>
      </c>
      <c r="G183" s="11"/>
      <c r="H183" s="3">
        <f>IF(B183="","",IF(C183="","כן","לא"))</f>
      </c>
      <c r="I183" s="3">
        <f>IF(B183="","",IF(D183=0,"כן","לא"))</f>
      </c>
      <c r="J183" s="3">
        <f>IF(B183="","",IF(F183&gt;0,"כן","לא"))</f>
      </c>
    </row>
    <row r="184" spans="1:10" x14ac:dyDescent="0.25">
      <c r="A184" s="11"/>
      <c r="B184" s="11"/>
      <c r="C184" s="11"/>
      <c r="D184" s="11"/>
      <c r="E184" s="11"/>
      <c r="F184" s="3">
        <f>IF(B184="","",MAX(0,D184-E184))</f>
      </c>
      <c r="G184" s="11"/>
      <c r="H184" s="3">
        <f>IF(B184="","",IF(C184="","כן","לא"))</f>
      </c>
      <c r="I184" s="3">
        <f>IF(B184="","",IF(D184=0,"כן","לא"))</f>
      </c>
      <c r="J184" s="3">
        <f>IF(B184="","",IF(F184&gt;0,"כן","לא"))</f>
      </c>
    </row>
    <row r="185" spans="1:10" x14ac:dyDescent="0.25">
      <c r="A185" s="11"/>
      <c r="B185" s="11"/>
      <c r="C185" s="11"/>
      <c r="D185" s="11"/>
      <c r="E185" s="11"/>
      <c r="F185" s="3">
        <f>IF(B185="","",MAX(0,D185-E185))</f>
      </c>
      <c r="G185" s="11"/>
      <c r="H185" s="3">
        <f>IF(B185="","",IF(C185="","כן","לא"))</f>
      </c>
      <c r="I185" s="3">
        <f>IF(B185="","",IF(D185=0,"כן","לא"))</f>
      </c>
      <c r="J185" s="3">
        <f>IF(B185="","",IF(F185&gt;0,"כן","לא"))</f>
      </c>
    </row>
    <row r="186" spans="1:10" x14ac:dyDescent="0.25">
      <c r="A186" s="11"/>
      <c r="B186" s="11"/>
      <c r="C186" s="11"/>
      <c r="D186" s="11"/>
      <c r="E186" s="11"/>
      <c r="F186" s="3">
        <f>IF(B186="","",MAX(0,D186-E186))</f>
      </c>
      <c r="G186" s="11"/>
      <c r="H186" s="3">
        <f>IF(B186="","",IF(C186="","כן","לא"))</f>
      </c>
      <c r="I186" s="3">
        <f>IF(B186="","",IF(D186=0,"כן","לא"))</f>
      </c>
      <c r="J186" s="3">
        <f>IF(B186="","",IF(F186&gt;0,"כן","לא"))</f>
      </c>
    </row>
    <row r="187" spans="1:10" x14ac:dyDescent="0.25">
      <c r="A187" s="11"/>
      <c r="B187" s="11"/>
      <c r="C187" s="11"/>
      <c r="D187" s="11"/>
      <c r="E187" s="11"/>
      <c r="F187" s="3">
        <f>IF(B187="","",MAX(0,D187-E187))</f>
      </c>
      <c r="G187" s="11"/>
      <c r="H187" s="3">
        <f>IF(B187="","",IF(C187="","כן","לא"))</f>
      </c>
      <c r="I187" s="3">
        <f>IF(B187="","",IF(D187=0,"כן","לא"))</f>
      </c>
      <c r="J187" s="3">
        <f>IF(B187="","",IF(F187&gt;0,"כן","לא"))</f>
      </c>
    </row>
    <row r="188" spans="1:10" x14ac:dyDescent="0.25">
      <c r="A188" s="11"/>
      <c r="B188" s="11"/>
      <c r="C188" s="11"/>
      <c r="D188" s="11"/>
      <c r="E188" s="11"/>
      <c r="F188" s="3">
        <f>IF(B188="","",MAX(0,D188-E188))</f>
      </c>
      <c r="G188" s="11"/>
      <c r="H188" s="3">
        <f>IF(B188="","",IF(C188="","כן","לא"))</f>
      </c>
      <c r="I188" s="3">
        <f>IF(B188="","",IF(D188=0,"כן","לא"))</f>
      </c>
      <c r="J188" s="3">
        <f>IF(B188="","",IF(F188&gt;0,"כן","לא"))</f>
      </c>
    </row>
    <row r="189" spans="1:10" x14ac:dyDescent="0.25">
      <c r="A189" s="11"/>
      <c r="B189" s="11"/>
      <c r="C189" s="11"/>
      <c r="D189" s="11"/>
      <c r="E189" s="11"/>
      <c r="F189" s="3">
        <f>IF(B189="","",MAX(0,D189-E189))</f>
      </c>
      <c r="G189" s="11"/>
      <c r="H189" s="3">
        <f>IF(B189="","",IF(C189="","כן","לא"))</f>
      </c>
      <c r="I189" s="3">
        <f>IF(B189="","",IF(D189=0,"כן","לא"))</f>
      </c>
      <c r="J189" s="3">
        <f>IF(B189="","",IF(F189&gt;0,"כן","לא"))</f>
      </c>
    </row>
    <row r="190" spans="1:10" x14ac:dyDescent="0.25">
      <c r="A190" s="11"/>
      <c r="B190" s="11"/>
      <c r="C190" s="11"/>
      <c r="D190" s="11"/>
      <c r="E190" s="11"/>
      <c r="F190" s="3">
        <f>IF(B190="","",MAX(0,D190-E190))</f>
      </c>
      <c r="G190" s="11"/>
      <c r="H190" s="3">
        <f>IF(B190="","",IF(C190="","כן","לא"))</f>
      </c>
      <c r="I190" s="3">
        <f>IF(B190="","",IF(D190=0,"כן","לא"))</f>
      </c>
      <c r="J190" s="3">
        <f>IF(B190="","",IF(F190&gt;0,"כן","לא"))</f>
      </c>
    </row>
    <row r="191" spans="1:10" x14ac:dyDescent="0.25">
      <c r="A191" s="11"/>
      <c r="B191" s="11"/>
      <c r="C191" s="11"/>
      <c r="D191" s="11"/>
      <c r="E191" s="11"/>
      <c r="F191" s="3">
        <f>IF(B191="","",MAX(0,D191-E191))</f>
      </c>
      <c r="G191" s="11"/>
      <c r="H191" s="3">
        <f>IF(B191="","",IF(C191="","כן","לא"))</f>
      </c>
      <c r="I191" s="3">
        <f>IF(B191="","",IF(D191=0,"כן","לא"))</f>
      </c>
      <c r="J191" s="3">
        <f>IF(B191="","",IF(F191&gt;0,"כן","לא"))</f>
      </c>
    </row>
    <row r="192" spans="1:10" x14ac:dyDescent="0.25">
      <c r="A192" s="11"/>
      <c r="B192" s="11"/>
      <c r="C192" s="11"/>
      <c r="D192" s="11"/>
      <c r="E192" s="11"/>
      <c r="F192" s="3">
        <f>IF(B192="","",MAX(0,D192-E192))</f>
      </c>
      <c r="G192" s="11"/>
      <c r="H192" s="3">
        <f>IF(B192="","",IF(C192="","כן","לא"))</f>
      </c>
      <c r="I192" s="3">
        <f>IF(B192="","",IF(D192=0,"כן","לא"))</f>
      </c>
      <c r="J192" s="3">
        <f>IF(B192="","",IF(F192&gt;0,"כן","לא"))</f>
      </c>
    </row>
    <row r="193" spans="1:10" x14ac:dyDescent="0.25">
      <c r="A193" s="11"/>
      <c r="B193" s="11"/>
      <c r="C193" s="11"/>
      <c r="D193" s="11"/>
      <c r="E193" s="11"/>
      <c r="F193" s="3">
        <f>IF(B193="","",MAX(0,D193-E193))</f>
      </c>
      <c r="G193" s="11"/>
      <c r="H193" s="3">
        <f>IF(B193="","",IF(C193="","כן","לא"))</f>
      </c>
      <c r="I193" s="3">
        <f>IF(B193="","",IF(D193=0,"כן","לא"))</f>
      </c>
      <c r="J193" s="3">
        <f>IF(B193="","",IF(F193&gt;0,"כן","לא"))</f>
      </c>
    </row>
    <row r="194" spans="1:10" x14ac:dyDescent="0.25">
      <c r="A194" s="11"/>
      <c r="B194" s="11"/>
      <c r="C194" s="11"/>
      <c r="D194" s="11"/>
      <c r="E194" s="11"/>
      <c r="F194" s="3">
        <f>IF(B194="","",MAX(0,D194-E194))</f>
      </c>
      <c r="G194" s="11"/>
      <c r="H194" s="3">
        <f>IF(B194="","",IF(C194="","כן","לא"))</f>
      </c>
      <c r="I194" s="3">
        <f>IF(B194="","",IF(D194=0,"כן","לא"))</f>
      </c>
      <c r="J194" s="3">
        <f>IF(B194="","",IF(F194&gt;0,"כן","לא"))</f>
      </c>
    </row>
    <row r="195" spans="1:10" x14ac:dyDescent="0.25">
      <c r="A195" s="11"/>
      <c r="B195" s="11"/>
      <c r="C195" s="11"/>
      <c r="D195" s="11"/>
      <c r="E195" s="11"/>
      <c r="F195" s="3">
        <f>IF(B195="","",MAX(0,D195-E195))</f>
      </c>
      <c r="G195" s="11"/>
      <c r="H195" s="3">
        <f>IF(B195="","",IF(C195="","כן","לא"))</f>
      </c>
      <c r="I195" s="3">
        <f>IF(B195="","",IF(D195=0,"כן","לא"))</f>
      </c>
      <c r="J195" s="3">
        <f>IF(B195="","",IF(F195&gt;0,"כן","לא"))</f>
      </c>
    </row>
    <row r="196" spans="1:10" x14ac:dyDescent="0.25">
      <c r="A196" s="11"/>
      <c r="B196" s="11"/>
      <c r="C196" s="11"/>
      <c r="D196" s="11"/>
      <c r="E196" s="11"/>
      <c r="F196" s="3">
        <f>IF(B196="","",MAX(0,D196-E196))</f>
      </c>
      <c r="G196" s="11"/>
      <c r="H196" s="3">
        <f>IF(B196="","",IF(C196="","כן","לא"))</f>
      </c>
      <c r="I196" s="3">
        <f>IF(B196="","",IF(D196=0,"כן","לא"))</f>
      </c>
      <c r="J196" s="3">
        <f>IF(B196="","",IF(F196&gt;0,"כן","לא"))</f>
      </c>
    </row>
    <row r="197" spans="1:10" x14ac:dyDescent="0.25">
      <c r="A197" s="11"/>
      <c r="B197" s="11"/>
      <c r="C197" s="11"/>
      <c r="D197" s="11"/>
      <c r="E197" s="11"/>
      <c r="F197" s="3">
        <f>IF(B197="","",MAX(0,D197-E197))</f>
      </c>
      <c r="G197" s="11"/>
      <c r="H197" s="3">
        <f>IF(B197="","",IF(C197="","כן","לא"))</f>
      </c>
      <c r="I197" s="3">
        <f>IF(B197="","",IF(D197=0,"כן","לא"))</f>
      </c>
      <c r="J197" s="3">
        <f>IF(B197="","",IF(F197&gt;0,"כן","לא"))</f>
      </c>
    </row>
    <row r="198" spans="1:10" x14ac:dyDescent="0.25">
      <c r="A198" s="11"/>
      <c r="B198" s="11"/>
      <c r="C198" s="11"/>
      <c r="D198" s="11"/>
      <c r="E198" s="11"/>
      <c r="F198" s="3">
        <f>IF(B198="","",MAX(0,D198-E198))</f>
      </c>
      <c r="G198" s="11"/>
      <c r="H198" s="3">
        <f>IF(B198="","",IF(C198="","כן","לא"))</f>
      </c>
      <c r="I198" s="3">
        <f>IF(B198="","",IF(D198=0,"כן","לא"))</f>
      </c>
      <c r="J198" s="3">
        <f>IF(B198="","",IF(F198&gt;0,"כן","לא"))</f>
      </c>
    </row>
    <row r="199" spans="1:10" x14ac:dyDescent="0.25">
      <c r="A199" s="11"/>
      <c r="B199" s="11"/>
      <c r="C199" s="11"/>
      <c r="D199" s="11"/>
      <c r="E199" s="11"/>
      <c r="F199" s="3">
        <f>IF(B199="","",MAX(0,D199-E199))</f>
      </c>
      <c r="G199" s="11"/>
      <c r="H199" s="3">
        <f>IF(B199="","",IF(C199="","כן","לא"))</f>
      </c>
      <c r="I199" s="3">
        <f>IF(B199="","",IF(D199=0,"כן","לא"))</f>
      </c>
      <c r="J199" s="3">
        <f>IF(B199="","",IF(F199&gt;0,"כן","לא"))</f>
      </c>
    </row>
    <row r="200" spans="1:10" x14ac:dyDescent="0.25">
      <c r="A200" s="11"/>
      <c r="B200" s="11"/>
      <c r="C200" s="11"/>
      <c r="D200" s="11"/>
      <c r="E200" s="11"/>
      <c r="F200" s="3">
        <f>IF(B200="","",MAX(0,D200-E200))</f>
      </c>
      <c r="G200" s="11"/>
      <c r="H200" s="3">
        <f>IF(B200="","",IF(C200="","כן","לא"))</f>
      </c>
      <c r="I200" s="3">
        <f>IF(B200="","",IF(D200=0,"כן","לא"))</f>
      </c>
      <c r="J200" s="3">
        <f>IF(B200="","",IF(F200&gt;0,"כן","לא"))</f>
      </c>
    </row>
    <row r="201" spans="1:10" x14ac:dyDescent="0.25">
      <c r="A201" s="11"/>
      <c r="B201" s="11"/>
      <c r="C201" s="11"/>
      <c r="D201" s="11"/>
      <c r="E201" s="11"/>
      <c r="F201" s="3">
        <f>IF(B201="","",MAX(0,D201-E201))</f>
      </c>
      <c r="G201" s="11"/>
      <c r="H201" s="3">
        <f>IF(B201="","",IF(C201="","כן","לא"))</f>
      </c>
      <c r="I201" s="3">
        <f>IF(B201="","",IF(D201=0,"כן","לא"))</f>
      </c>
      <c r="J201" s="3">
        <f>IF(B201="","",IF(F201&gt;0,"כן","לא"))</f>
      </c>
    </row>
    <row r="202" spans="1:10" x14ac:dyDescent="0.25">
      <c r="A202" s="11"/>
      <c r="B202" s="11"/>
      <c r="C202" s="11"/>
      <c r="D202" s="11"/>
      <c r="E202" s="11"/>
      <c r="F202" s="3">
        <f>IF(B202="","",MAX(0,D202-E202))</f>
      </c>
      <c r="G202" s="11"/>
      <c r="H202" s="3">
        <f>IF(B202="","",IF(C202="","כן","לא"))</f>
      </c>
      <c r="I202" s="3">
        <f>IF(B202="","",IF(D202=0,"כן","לא"))</f>
      </c>
      <c r="J202" s="3">
        <f>IF(B202="","",IF(F202&gt;0,"כן","לא"))</f>
      </c>
    </row>
    <row r="203" spans="1:10" x14ac:dyDescent="0.25">
      <c r="A203" s="11"/>
      <c r="B203" s="11"/>
      <c r="C203" s="11"/>
      <c r="D203" s="11"/>
      <c r="E203" s="11"/>
      <c r="F203" s="3">
        <f>IF(B203="","",MAX(0,D203-E203))</f>
      </c>
      <c r="G203" s="11"/>
      <c r="H203" s="3">
        <f>IF(B203="","",IF(C203="","כן","לא"))</f>
      </c>
      <c r="I203" s="3">
        <f>IF(B203="","",IF(D203=0,"כן","לא"))</f>
      </c>
      <c r="J203" s="3">
        <f>IF(B203="","",IF(F203&gt;0,"כן","לא"))</f>
      </c>
    </row>
    <row r="204" spans="1:10" x14ac:dyDescent="0.25">
      <c r="A204" s="11"/>
      <c r="B204" s="11"/>
      <c r="C204" s="11"/>
      <c r="D204" s="11"/>
      <c r="E204" s="11"/>
      <c r="F204" s="3">
        <f>IF(B204="","",MAX(0,D204-E204))</f>
      </c>
      <c r="G204" s="11"/>
      <c r="H204" s="3">
        <f>IF(B204="","",IF(C204="","כן","לא"))</f>
      </c>
      <c r="I204" s="3">
        <f>IF(B204="","",IF(D204=0,"כן","לא"))</f>
      </c>
      <c r="J204" s="3">
        <f>IF(B204="","",IF(F204&gt;0,"כן","לא"))</f>
      </c>
    </row>
    <row r="205" spans="1:10" x14ac:dyDescent="0.25">
      <c r="A205" s="11"/>
      <c r="B205" s="11"/>
      <c r="C205" s="11"/>
      <c r="D205" s="11"/>
      <c r="E205" s="11"/>
      <c r="F205" s="3">
        <f>IF(B205="","",MAX(0,D205-E205))</f>
      </c>
      <c r="G205" s="11"/>
      <c r="H205" s="3">
        <f>IF(B205="","",IF(C205="","כן","לא"))</f>
      </c>
      <c r="I205" s="3">
        <f>IF(B205="","",IF(D205=0,"כן","לא"))</f>
      </c>
      <c r="J205" s="3">
        <f>IF(B205="","",IF(F205&gt;0,"כן","לא"))</f>
      </c>
    </row>
    <row r="206" spans="1:10" x14ac:dyDescent="0.25">
      <c r="A206" s="11"/>
      <c r="B206" s="11"/>
      <c r="C206" s="11"/>
      <c r="D206" s="11"/>
      <c r="E206" s="11"/>
      <c r="F206" s="3">
        <f>IF(B206="","",MAX(0,D206-E206))</f>
      </c>
      <c r="G206" s="11"/>
      <c r="H206" s="3">
        <f>IF(B206="","",IF(C206="","כן","לא"))</f>
      </c>
      <c r="I206" s="3">
        <f>IF(B206="","",IF(D206=0,"כן","לא"))</f>
      </c>
      <c r="J206" s="3">
        <f>IF(B206="","",IF(F206&gt;0,"כן","לא"))</f>
      </c>
    </row>
    <row r="207" spans="1:10" x14ac:dyDescent="0.25">
      <c r="A207" s="11"/>
      <c r="B207" s="11"/>
      <c r="C207" s="11"/>
      <c r="D207" s="11"/>
      <c r="E207" s="11"/>
      <c r="F207" s="3">
        <f>IF(B207="","",MAX(0,D207-E207))</f>
      </c>
      <c r="G207" s="11"/>
      <c r="H207" s="3">
        <f>IF(B207="","",IF(C207="","כן","לא"))</f>
      </c>
      <c r="I207" s="3">
        <f>IF(B207="","",IF(D207=0,"כן","לא"))</f>
      </c>
      <c r="J207" s="3">
        <f>IF(B207="","",IF(F207&gt;0,"כן","לא"))</f>
      </c>
    </row>
    <row r="208" spans="1:10" x14ac:dyDescent="0.25">
      <c r="A208" s="11"/>
      <c r="B208" s="11"/>
      <c r="C208" s="11"/>
      <c r="D208" s="11"/>
      <c r="E208" s="11"/>
      <c r="F208" s="3">
        <f>IF(B208="","",MAX(0,D208-E208))</f>
      </c>
      <c r="G208" s="11"/>
      <c r="H208" s="3">
        <f>IF(B208="","",IF(C208="","כן","לא"))</f>
      </c>
      <c r="I208" s="3">
        <f>IF(B208="","",IF(D208=0,"כן","לא"))</f>
      </c>
      <c r="J208" s="3">
        <f>IF(B208="","",IF(F208&gt;0,"כן","לא"))</f>
      </c>
    </row>
    <row r="209" spans="1:10" x14ac:dyDescent="0.25">
      <c r="A209" s="11"/>
      <c r="B209" s="11"/>
      <c r="C209" s="11"/>
      <c r="D209" s="11"/>
      <c r="E209" s="11"/>
      <c r="F209" s="3">
        <f>IF(B209="","",MAX(0,D209-E209))</f>
      </c>
      <c r="G209" s="11"/>
      <c r="H209" s="3">
        <f>IF(B209="","",IF(C209="","כן","לא"))</f>
      </c>
      <c r="I209" s="3">
        <f>IF(B209="","",IF(D209=0,"כן","לא"))</f>
      </c>
      <c r="J209" s="3">
        <f>IF(B209="","",IF(F209&gt;0,"כן","לא"))</f>
      </c>
    </row>
    <row r="210" spans="1:10" x14ac:dyDescent="0.25">
      <c r="A210" s="11"/>
      <c r="B210" s="11"/>
      <c r="C210" s="11"/>
      <c r="D210" s="11"/>
      <c r="E210" s="11"/>
      <c r="F210" s="3">
        <f>IF(B210="","",MAX(0,D210-E210))</f>
      </c>
      <c r="G210" s="11"/>
      <c r="H210" s="3">
        <f>IF(B210="","",IF(C210="","כן","לא"))</f>
      </c>
      <c r="I210" s="3">
        <f>IF(B210="","",IF(D210=0,"כן","לא"))</f>
      </c>
      <c r="J210" s="3">
        <f>IF(B210="","",IF(F210&gt;0,"כן","לא"))</f>
      </c>
    </row>
    <row r="211" spans="1:10" x14ac:dyDescent="0.25">
      <c r="A211" s="11"/>
      <c r="B211" s="11"/>
      <c r="C211" s="11"/>
      <c r="D211" s="11"/>
      <c r="E211" s="11"/>
      <c r="F211" s="3">
        <f>IF(B211="","",MAX(0,D211-E211))</f>
      </c>
      <c r="G211" s="11"/>
      <c r="H211" s="3">
        <f>IF(B211="","",IF(C211="","כן","לא"))</f>
      </c>
      <c r="I211" s="3">
        <f>IF(B211="","",IF(D211=0,"כן","לא"))</f>
      </c>
      <c r="J211" s="3">
        <f>IF(B211="","",IF(F211&gt;0,"כן","לא"))</f>
      </c>
    </row>
    <row r="212" spans="1:10" x14ac:dyDescent="0.25">
      <c r="A212" s="11"/>
      <c r="B212" s="11"/>
      <c r="C212" s="11"/>
      <c r="D212" s="11"/>
      <c r="E212" s="11"/>
      <c r="F212" s="3">
        <f>IF(B212="","",MAX(0,D212-E212))</f>
      </c>
      <c r="G212" s="11"/>
      <c r="H212" s="3">
        <f>IF(B212="","",IF(C212="","כן","לא"))</f>
      </c>
      <c r="I212" s="3">
        <f>IF(B212="","",IF(D212=0,"כן","לא"))</f>
      </c>
      <c r="J212" s="3">
        <f>IF(B212="","",IF(F212&gt;0,"כן","לא"))</f>
      </c>
    </row>
    <row r="213" spans="1:10" x14ac:dyDescent="0.25">
      <c r="A213" s="11"/>
      <c r="B213" s="11"/>
      <c r="C213" s="11"/>
      <c r="D213" s="11"/>
      <c r="E213" s="11"/>
      <c r="F213" s="3">
        <f>IF(B213="","",MAX(0,D213-E213))</f>
      </c>
      <c r="G213" s="11"/>
      <c r="H213" s="3">
        <f>IF(B213="","",IF(C213="","כן","לא"))</f>
      </c>
      <c r="I213" s="3">
        <f>IF(B213="","",IF(D213=0,"כן","לא"))</f>
      </c>
      <c r="J213" s="3">
        <f>IF(B213="","",IF(F213&gt;0,"כן","לא"))</f>
      </c>
    </row>
    <row r="214" spans="1:10" x14ac:dyDescent="0.25">
      <c r="A214" s="11"/>
      <c r="B214" s="11"/>
      <c r="C214" s="11"/>
      <c r="D214" s="11"/>
      <c r="E214" s="11"/>
      <c r="F214" s="3">
        <f>IF(B214="","",MAX(0,D214-E214))</f>
      </c>
      <c r="G214" s="11"/>
      <c r="H214" s="3">
        <f>IF(B214="","",IF(C214="","כן","לא"))</f>
      </c>
      <c r="I214" s="3">
        <f>IF(B214="","",IF(D214=0,"כן","לא"))</f>
      </c>
      <c r="J214" s="3">
        <f>IF(B214="","",IF(F214&gt;0,"כן","לא"))</f>
      </c>
    </row>
    <row r="215" spans="1:10" x14ac:dyDescent="0.25">
      <c r="A215" s="11"/>
      <c r="B215" s="11"/>
      <c r="C215" s="11"/>
      <c r="D215" s="11"/>
      <c r="E215" s="11"/>
      <c r="F215" s="3">
        <f>IF(B215="","",MAX(0,D215-E215))</f>
      </c>
      <c r="G215" s="11"/>
      <c r="H215" s="3">
        <f>IF(B215="","",IF(C215="","כן","לא"))</f>
      </c>
      <c r="I215" s="3">
        <f>IF(B215="","",IF(D215=0,"כן","לא"))</f>
      </c>
      <c r="J215" s="3">
        <f>IF(B215="","",IF(F215&gt;0,"כן","לא"))</f>
      </c>
    </row>
    <row r="216" spans="1:10" x14ac:dyDescent="0.25">
      <c r="A216" s="11"/>
      <c r="B216" s="11"/>
      <c r="C216" s="11"/>
      <c r="D216" s="11"/>
      <c r="E216" s="11"/>
      <c r="F216" s="3">
        <f>IF(B216="","",MAX(0,D216-E216))</f>
      </c>
      <c r="G216" s="11"/>
      <c r="H216" s="3">
        <f>IF(B216="","",IF(C216="","כן","לא"))</f>
      </c>
      <c r="I216" s="3">
        <f>IF(B216="","",IF(D216=0,"כן","לא"))</f>
      </c>
      <c r="J216" s="3">
        <f>IF(B216="","",IF(F216&gt;0,"כן","לא"))</f>
      </c>
    </row>
    <row r="217" spans="1:10" x14ac:dyDescent="0.25">
      <c r="A217" s="11"/>
      <c r="B217" s="11"/>
      <c r="C217" s="11"/>
      <c r="D217" s="11"/>
      <c r="E217" s="11"/>
      <c r="F217" s="3">
        <f>IF(B217="","",MAX(0,D217-E217))</f>
      </c>
      <c r="G217" s="11"/>
      <c r="H217" s="3">
        <f>IF(B217="","",IF(C217="","כן","לא"))</f>
      </c>
      <c r="I217" s="3">
        <f>IF(B217="","",IF(D217=0,"כן","לא"))</f>
      </c>
      <c r="J217" s="3">
        <f>IF(B217="","",IF(F217&gt;0,"כן","לא"))</f>
      </c>
    </row>
    <row r="218" spans="1:10" x14ac:dyDescent="0.25">
      <c r="A218" s="11"/>
      <c r="B218" s="11"/>
      <c r="C218" s="11"/>
      <c r="D218" s="11"/>
      <c r="E218" s="11"/>
      <c r="F218" s="3">
        <f>IF(B218="","",MAX(0,D218-E218))</f>
      </c>
      <c r="G218" s="11"/>
      <c r="H218" s="3">
        <f>IF(B218="","",IF(C218="","כן","לא"))</f>
      </c>
      <c r="I218" s="3">
        <f>IF(B218="","",IF(D218=0,"כן","לא"))</f>
      </c>
      <c r="J218" s="3">
        <f>IF(B218="","",IF(F218&gt;0,"כן","לא"))</f>
      </c>
    </row>
    <row r="219" spans="1:10" x14ac:dyDescent="0.25">
      <c r="A219" s="11"/>
      <c r="B219" s="11"/>
      <c r="C219" s="11"/>
      <c r="D219" s="11"/>
      <c r="E219" s="11"/>
      <c r="F219" s="3">
        <f>IF(B219="","",MAX(0,D219-E219))</f>
      </c>
      <c r="G219" s="11"/>
      <c r="H219" s="3">
        <f>IF(B219="","",IF(C219="","כן","לא"))</f>
      </c>
      <c r="I219" s="3">
        <f>IF(B219="","",IF(D219=0,"כן","לא"))</f>
      </c>
      <c r="J219" s="3">
        <f>IF(B219="","",IF(F219&gt;0,"כן","לא"))</f>
      </c>
    </row>
    <row r="220" spans="1:10" x14ac:dyDescent="0.25">
      <c r="A220" s="11"/>
      <c r="B220" s="11"/>
      <c r="C220" s="11"/>
      <c r="D220" s="11"/>
      <c r="E220" s="11"/>
      <c r="F220" s="3">
        <f>IF(B220="","",MAX(0,D220-E220))</f>
      </c>
      <c r="G220" s="11"/>
      <c r="H220" s="3">
        <f>IF(B220="","",IF(C220="","כן","לא"))</f>
      </c>
      <c r="I220" s="3">
        <f>IF(B220="","",IF(D220=0,"כן","לא"))</f>
      </c>
      <c r="J220" s="3">
        <f>IF(B220="","",IF(F220&gt;0,"כן","לא"))</f>
      </c>
    </row>
    <row r="221" spans="1:10" x14ac:dyDescent="0.25">
      <c r="A221" s="11"/>
      <c r="B221" s="11"/>
      <c r="C221" s="11"/>
      <c r="D221" s="11"/>
      <c r="E221" s="11"/>
      <c r="F221" s="3">
        <f>IF(B221="","",MAX(0,D221-E221))</f>
      </c>
      <c r="G221" s="11"/>
      <c r="H221" s="3">
        <f>IF(B221="","",IF(C221="","כן","לא"))</f>
      </c>
      <c r="I221" s="3">
        <f>IF(B221="","",IF(D221=0,"כן","לא"))</f>
      </c>
      <c r="J221" s="3">
        <f>IF(B221="","",IF(F221&gt;0,"כן","לא"))</f>
      </c>
    </row>
    <row r="222" spans="1:10" x14ac:dyDescent="0.25">
      <c r="A222" s="11"/>
      <c r="B222" s="11"/>
      <c r="C222" s="11"/>
      <c r="D222" s="11"/>
      <c r="E222" s="11"/>
      <c r="F222" s="3">
        <f>IF(B222="","",MAX(0,D222-E222))</f>
      </c>
      <c r="G222" s="11"/>
      <c r="H222" s="3">
        <f>IF(B222="","",IF(C222="","כן","לא"))</f>
      </c>
      <c r="I222" s="3">
        <f>IF(B222="","",IF(D222=0,"כן","לא"))</f>
      </c>
      <c r="J222" s="3">
        <f>IF(B222="","",IF(F222&gt;0,"כן","לא"))</f>
      </c>
    </row>
    <row r="223" spans="1:10" x14ac:dyDescent="0.25">
      <c r="A223" s="11"/>
      <c r="B223" s="11"/>
      <c r="C223" s="11"/>
      <c r="D223" s="11"/>
      <c r="E223" s="11"/>
      <c r="F223" s="3">
        <f>IF(B223="","",MAX(0,D223-E223))</f>
      </c>
      <c r="G223" s="11"/>
      <c r="H223" s="3">
        <f>IF(B223="","",IF(C223="","כן","לא"))</f>
      </c>
      <c r="I223" s="3">
        <f>IF(B223="","",IF(D223=0,"כן","לא"))</f>
      </c>
      <c r="J223" s="3">
        <f>IF(B223="","",IF(F223&gt;0,"כן","לא"))</f>
      </c>
    </row>
    <row r="224" spans="1:10" x14ac:dyDescent="0.25">
      <c r="A224" s="11"/>
      <c r="B224" s="11"/>
      <c r="C224" s="11"/>
      <c r="D224" s="11"/>
      <c r="E224" s="11"/>
      <c r="F224" s="3">
        <f>IF(B224="","",MAX(0,D224-E224))</f>
      </c>
      <c r="G224" s="11"/>
      <c r="H224" s="3">
        <f>IF(B224="","",IF(C224="","כן","לא"))</f>
      </c>
      <c r="I224" s="3">
        <f>IF(B224="","",IF(D224=0,"כן","לא"))</f>
      </c>
      <c r="J224" s="3">
        <f>IF(B224="","",IF(F224&gt;0,"כן","לא"))</f>
      </c>
    </row>
    <row r="225" spans="1:10" x14ac:dyDescent="0.25">
      <c r="A225" s="11"/>
      <c r="B225" s="11"/>
      <c r="C225" s="11"/>
      <c r="D225" s="11"/>
      <c r="E225" s="11"/>
      <c r="F225" s="3">
        <f>IF(B225="","",MAX(0,D225-E225))</f>
      </c>
      <c r="G225" s="11"/>
      <c r="H225" s="3">
        <f>IF(B225="","",IF(C225="","כן","לא"))</f>
      </c>
      <c r="I225" s="3">
        <f>IF(B225="","",IF(D225=0,"כן","לא"))</f>
      </c>
      <c r="J225" s="3">
        <f>IF(B225="","",IF(F225&gt;0,"כן","לא"))</f>
      </c>
    </row>
    <row r="226" spans="1:10" x14ac:dyDescent="0.25">
      <c r="A226" s="11"/>
      <c r="B226" s="11"/>
      <c r="C226" s="11"/>
      <c r="D226" s="11"/>
      <c r="E226" s="11"/>
      <c r="F226" s="3">
        <f>IF(B226="","",MAX(0,D226-E226))</f>
      </c>
      <c r="G226" s="11"/>
      <c r="H226" s="3">
        <f>IF(B226="","",IF(C226="","כן","לא"))</f>
      </c>
      <c r="I226" s="3">
        <f>IF(B226="","",IF(D226=0,"כן","לא"))</f>
      </c>
      <c r="J226" s="3">
        <f>IF(B226="","",IF(F226&gt;0,"כן","לא"))</f>
      </c>
    </row>
    <row r="227" spans="1:10" x14ac:dyDescent="0.25">
      <c r="A227" s="11"/>
      <c r="B227" s="11"/>
      <c r="C227" s="11"/>
      <c r="D227" s="11"/>
      <c r="E227" s="11"/>
      <c r="F227" s="3">
        <f>IF(B227="","",MAX(0,D227-E227))</f>
      </c>
      <c r="G227" s="11"/>
      <c r="H227" s="3">
        <f>IF(B227="","",IF(C227="","כן","לא"))</f>
      </c>
      <c r="I227" s="3">
        <f>IF(B227="","",IF(D227=0,"כן","לא"))</f>
      </c>
      <c r="J227" s="3">
        <f>IF(B227="","",IF(F227&gt;0,"כן","לא"))</f>
      </c>
    </row>
    <row r="228" spans="1:10" x14ac:dyDescent="0.25">
      <c r="A228" s="11"/>
      <c r="B228" s="11"/>
      <c r="C228" s="11"/>
      <c r="D228" s="11"/>
      <c r="E228" s="11"/>
      <c r="F228" s="3">
        <f>IF(B228="","",MAX(0,D228-E228))</f>
      </c>
      <c r="G228" s="11"/>
      <c r="H228" s="3">
        <f>IF(B228="","",IF(C228="","כן","לא"))</f>
      </c>
      <c r="I228" s="3">
        <f>IF(B228="","",IF(D228=0,"כן","לא"))</f>
      </c>
      <c r="J228" s="3">
        <f>IF(B228="","",IF(F228&gt;0,"כן","לא"))</f>
      </c>
    </row>
    <row r="229" spans="1:10" x14ac:dyDescent="0.25">
      <c r="A229" s="11"/>
      <c r="B229" s="11"/>
      <c r="C229" s="11"/>
      <c r="D229" s="11"/>
      <c r="E229" s="11"/>
      <c r="F229" s="3">
        <f>IF(B229="","",MAX(0,D229-E229))</f>
      </c>
      <c r="G229" s="11"/>
      <c r="H229" s="3">
        <f>IF(B229="","",IF(C229="","כן","לא"))</f>
      </c>
      <c r="I229" s="3">
        <f>IF(B229="","",IF(D229=0,"כן","לא"))</f>
      </c>
      <c r="J229" s="3">
        <f>IF(B229="","",IF(F229&gt;0,"כן","לא"))</f>
      </c>
    </row>
    <row r="230" spans="1:10" x14ac:dyDescent="0.25">
      <c r="A230" s="11"/>
      <c r="B230" s="11"/>
      <c r="C230" s="11"/>
      <c r="D230" s="11"/>
      <c r="E230" s="11"/>
      <c r="F230" s="3">
        <f>IF(B230="","",MAX(0,D230-E230))</f>
      </c>
      <c r="G230" s="11"/>
      <c r="H230" s="3">
        <f>IF(B230="","",IF(C230="","כן","לא"))</f>
      </c>
      <c r="I230" s="3">
        <f>IF(B230="","",IF(D230=0,"כן","לא"))</f>
      </c>
      <c r="J230" s="3">
        <f>IF(B230="","",IF(F230&gt;0,"כן","לא"))</f>
      </c>
    </row>
    <row r="231" spans="1:10" x14ac:dyDescent="0.25">
      <c r="A231" s="11"/>
      <c r="B231" s="11"/>
      <c r="C231" s="11"/>
      <c r="D231" s="11"/>
      <c r="E231" s="11"/>
      <c r="F231" s="3">
        <f>IF(B231="","",MAX(0,D231-E231))</f>
      </c>
      <c r="G231" s="11"/>
      <c r="H231" s="3">
        <f>IF(B231="","",IF(C231="","כן","לא"))</f>
      </c>
      <c r="I231" s="3">
        <f>IF(B231="","",IF(D231=0,"כן","לא"))</f>
      </c>
      <c r="J231" s="3">
        <f>IF(B231="","",IF(F231&gt;0,"כן","לא"))</f>
      </c>
    </row>
    <row r="232" spans="1:10" x14ac:dyDescent="0.25">
      <c r="A232" s="11"/>
      <c r="B232" s="11"/>
      <c r="C232" s="11"/>
      <c r="D232" s="11"/>
      <c r="E232" s="11"/>
      <c r="F232" s="3">
        <f>IF(B232="","",MAX(0,D232-E232))</f>
      </c>
      <c r="G232" s="11"/>
      <c r="H232" s="3">
        <f>IF(B232="","",IF(C232="","כן","לא"))</f>
      </c>
      <c r="I232" s="3">
        <f>IF(B232="","",IF(D232=0,"כן","לא"))</f>
      </c>
      <c r="J232" s="3">
        <f>IF(B232="","",IF(F232&gt;0,"כן","לא"))</f>
      </c>
    </row>
    <row r="233" spans="1:10" x14ac:dyDescent="0.25">
      <c r="A233" s="11"/>
      <c r="B233" s="11"/>
      <c r="C233" s="11"/>
      <c r="D233" s="11"/>
      <c r="E233" s="11"/>
      <c r="F233" s="3">
        <f>IF(B233="","",MAX(0,D233-E233))</f>
      </c>
      <c r="G233" s="11"/>
      <c r="H233" s="3">
        <f>IF(B233="","",IF(C233="","כן","לא"))</f>
      </c>
      <c r="I233" s="3">
        <f>IF(B233="","",IF(D233=0,"כן","לא"))</f>
      </c>
      <c r="J233" s="3">
        <f>IF(B233="","",IF(F233&gt;0,"כן","לא"))</f>
      </c>
    </row>
    <row r="234" spans="1:10" x14ac:dyDescent="0.25">
      <c r="A234" s="11"/>
      <c r="B234" s="11"/>
      <c r="C234" s="11"/>
      <c r="D234" s="11"/>
      <c r="E234" s="11"/>
      <c r="F234" s="3">
        <f>IF(B234="","",MAX(0,D234-E234))</f>
      </c>
      <c r="G234" s="11"/>
      <c r="H234" s="3">
        <f>IF(B234="","",IF(C234="","כן","לא"))</f>
      </c>
      <c r="I234" s="3">
        <f>IF(B234="","",IF(D234=0,"כן","לא"))</f>
      </c>
      <c r="J234" s="3">
        <f>IF(B234="","",IF(F234&gt;0,"כן","לא"))</f>
      </c>
    </row>
    <row r="235" spans="1:10" x14ac:dyDescent="0.25">
      <c r="A235" s="11"/>
      <c r="B235" s="11"/>
      <c r="C235" s="11"/>
      <c r="D235" s="11"/>
      <c r="E235" s="11"/>
      <c r="F235" s="3">
        <f>IF(B235="","",MAX(0,D235-E235))</f>
      </c>
      <c r="G235" s="11"/>
      <c r="H235" s="3">
        <f>IF(B235="","",IF(C235="","כן","לא"))</f>
      </c>
      <c r="I235" s="3">
        <f>IF(B235="","",IF(D235=0,"כן","לא"))</f>
      </c>
      <c r="J235" s="3">
        <f>IF(B235="","",IF(F235&gt;0,"כן","לא"))</f>
      </c>
    </row>
    <row r="236" spans="1:10" x14ac:dyDescent="0.25">
      <c r="A236" s="11"/>
      <c r="B236" s="11"/>
      <c r="C236" s="11"/>
      <c r="D236" s="11"/>
      <c r="E236" s="11"/>
      <c r="F236" s="3">
        <f>IF(B236="","",MAX(0,D236-E236))</f>
      </c>
      <c r="G236" s="11"/>
      <c r="H236" s="3">
        <f>IF(B236="","",IF(C236="","כן","לא"))</f>
      </c>
      <c r="I236" s="3">
        <f>IF(B236="","",IF(D236=0,"כן","לא"))</f>
      </c>
      <c r="J236" s="3">
        <f>IF(B236="","",IF(F236&gt;0,"כן","לא"))</f>
      </c>
    </row>
    <row r="237" spans="1:10" x14ac:dyDescent="0.25">
      <c r="A237" s="11"/>
      <c r="B237" s="11"/>
      <c r="C237" s="11"/>
      <c r="D237" s="11"/>
      <c r="E237" s="11"/>
      <c r="F237" s="3">
        <f>IF(B237="","",MAX(0,D237-E237))</f>
      </c>
      <c r="G237" s="11"/>
      <c r="H237" s="3">
        <f>IF(B237="","",IF(C237="","כן","לא"))</f>
      </c>
      <c r="I237" s="3">
        <f>IF(B237="","",IF(D237=0,"כן","לא"))</f>
      </c>
      <c r="J237" s="3">
        <f>IF(B237="","",IF(F237&gt;0,"כן","לא"))</f>
      </c>
    </row>
    <row r="238" spans="1:10" x14ac:dyDescent="0.25">
      <c r="A238" s="11"/>
      <c r="B238" s="11"/>
      <c r="C238" s="11"/>
      <c r="D238" s="11"/>
      <c r="E238" s="11"/>
      <c r="F238" s="3">
        <f>IF(B238="","",MAX(0,D238-E238))</f>
      </c>
      <c r="G238" s="11"/>
      <c r="H238" s="3">
        <f>IF(B238="","",IF(C238="","כן","לא"))</f>
      </c>
      <c r="I238" s="3">
        <f>IF(B238="","",IF(D238=0,"כן","לא"))</f>
      </c>
      <c r="J238" s="3">
        <f>IF(B238="","",IF(F238&gt;0,"כן","לא"))</f>
      </c>
    </row>
    <row r="239" spans="1:10" x14ac:dyDescent="0.25">
      <c r="A239" s="11"/>
      <c r="B239" s="11"/>
      <c r="C239" s="11"/>
      <c r="D239" s="11"/>
      <c r="E239" s="11"/>
      <c r="F239" s="3">
        <f>IF(B239="","",MAX(0,D239-E239))</f>
      </c>
      <c r="G239" s="11"/>
      <c r="H239" s="3">
        <f>IF(B239="","",IF(C239="","כן","לא"))</f>
      </c>
      <c r="I239" s="3">
        <f>IF(B239="","",IF(D239=0,"כן","לא"))</f>
      </c>
      <c r="J239" s="3">
        <f>IF(B239="","",IF(F239&gt;0,"כן","לא"))</f>
      </c>
    </row>
    <row r="240" spans="1:10" x14ac:dyDescent="0.25">
      <c r="A240" s="11"/>
      <c r="B240" s="11"/>
      <c r="C240" s="11"/>
      <c r="D240" s="11"/>
      <c r="E240" s="11"/>
      <c r="F240" s="3">
        <f>IF(B240="","",MAX(0,D240-E240))</f>
      </c>
      <c r="G240" s="11"/>
      <c r="H240" s="3">
        <f>IF(B240="","",IF(C240="","כן","לא"))</f>
      </c>
      <c r="I240" s="3">
        <f>IF(B240="","",IF(D240=0,"כן","לא"))</f>
      </c>
      <c r="J240" s="3">
        <f>IF(B240="","",IF(F240&gt;0,"כן","לא"))</f>
      </c>
    </row>
    <row r="241" spans="1:10" x14ac:dyDescent="0.25">
      <c r="A241" s="11"/>
      <c r="B241" s="11"/>
      <c r="C241" s="11"/>
      <c r="D241" s="11"/>
      <c r="E241" s="11"/>
      <c r="F241" s="3">
        <f>IF(B241="","",MAX(0,D241-E241))</f>
      </c>
      <c r="G241" s="11"/>
      <c r="H241" s="3">
        <f>IF(B241="","",IF(C241="","כן","לא"))</f>
      </c>
      <c r="I241" s="3">
        <f>IF(B241="","",IF(D241=0,"כן","לא"))</f>
      </c>
      <c r="J241" s="3">
        <f>IF(B241="","",IF(F241&gt;0,"כן","לא"))</f>
      </c>
    </row>
    <row r="242" spans="1:10" x14ac:dyDescent="0.25">
      <c r="A242" s="11"/>
      <c r="B242" s="11"/>
      <c r="C242" s="11"/>
      <c r="D242" s="11"/>
      <c r="E242" s="11"/>
      <c r="F242" s="3">
        <f>IF(B242="","",MAX(0,D242-E242))</f>
      </c>
      <c r="G242" s="11"/>
      <c r="H242" s="3">
        <f>IF(B242="","",IF(C242="","כן","לא"))</f>
      </c>
      <c r="I242" s="3">
        <f>IF(B242="","",IF(D242=0,"כן","לא"))</f>
      </c>
      <c r="J242" s="3">
        <f>IF(B242="","",IF(F242&gt;0,"כן","לא"))</f>
      </c>
    </row>
    <row r="243" spans="1:10" x14ac:dyDescent="0.25">
      <c r="A243" s="11"/>
      <c r="B243" s="11"/>
      <c r="C243" s="11"/>
      <c r="D243" s="11"/>
      <c r="E243" s="11"/>
      <c r="F243" s="3">
        <f>IF(B243="","",MAX(0,D243-E243))</f>
      </c>
      <c r="G243" s="11"/>
      <c r="H243" s="3">
        <f>IF(B243="","",IF(C243="","כן","לא"))</f>
      </c>
      <c r="I243" s="3">
        <f>IF(B243="","",IF(D243=0,"כן","לא"))</f>
      </c>
      <c r="J243" s="3">
        <f>IF(B243="","",IF(F243&gt;0,"כן","לא"))</f>
      </c>
    </row>
    <row r="244" spans="1:10" x14ac:dyDescent="0.25">
      <c r="A244" s="11"/>
      <c r="B244" s="11"/>
      <c r="C244" s="11"/>
      <c r="D244" s="11"/>
      <c r="E244" s="11"/>
      <c r="F244" s="3">
        <f>IF(B244="","",MAX(0,D244-E244))</f>
      </c>
      <c r="G244" s="11"/>
      <c r="H244" s="3">
        <f>IF(B244="","",IF(C244="","כן","לא"))</f>
      </c>
      <c r="I244" s="3">
        <f>IF(B244="","",IF(D244=0,"כן","לא"))</f>
      </c>
      <c r="J244" s="3">
        <f>IF(B244="","",IF(F244&gt;0,"כן","לא"))</f>
      </c>
    </row>
    <row r="245" spans="1:10" x14ac:dyDescent="0.25">
      <c r="A245" s="11"/>
      <c r="B245" s="11"/>
      <c r="C245" s="11"/>
      <c r="D245" s="11"/>
      <c r="E245" s="11"/>
      <c r="F245" s="3">
        <f>IF(B245="","",MAX(0,D245-E245))</f>
      </c>
      <c r="G245" s="11"/>
      <c r="H245" s="3">
        <f>IF(B245="","",IF(C245="","כן","לא"))</f>
      </c>
      <c r="I245" s="3">
        <f>IF(B245="","",IF(D245=0,"כן","לא"))</f>
      </c>
      <c r="J245" s="3">
        <f>IF(B245="","",IF(F245&gt;0,"כן","לא"))</f>
      </c>
    </row>
    <row r="246" spans="1:10" x14ac:dyDescent="0.25">
      <c r="A246" s="11"/>
      <c r="B246" s="11"/>
      <c r="C246" s="11"/>
      <c r="D246" s="11"/>
      <c r="E246" s="11"/>
      <c r="F246" s="3">
        <f>IF(B246="","",MAX(0,D246-E246))</f>
      </c>
      <c r="G246" s="11"/>
      <c r="H246" s="3">
        <f>IF(B246="","",IF(C246="","כן","לא"))</f>
      </c>
      <c r="I246" s="3">
        <f>IF(B246="","",IF(D246=0,"כן","לא"))</f>
      </c>
      <c r="J246" s="3">
        <f>IF(B246="","",IF(F246&gt;0,"כן","לא"))</f>
      </c>
    </row>
    <row r="247" spans="1:10" x14ac:dyDescent="0.25">
      <c r="A247" s="11"/>
      <c r="B247" s="11"/>
      <c r="C247" s="11"/>
      <c r="D247" s="11"/>
      <c r="E247" s="11"/>
      <c r="F247" s="3">
        <f>IF(B247="","",MAX(0,D247-E247))</f>
      </c>
      <c r="G247" s="11"/>
      <c r="H247" s="3">
        <f>IF(B247="","",IF(C247="","כן","לא"))</f>
      </c>
      <c r="I247" s="3">
        <f>IF(B247="","",IF(D247=0,"כן","לא"))</f>
      </c>
      <c r="J247" s="3">
        <f>IF(B247="","",IF(F247&gt;0,"כן","לא"))</f>
      </c>
    </row>
    <row r="248" spans="1:10" x14ac:dyDescent="0.25">
      <c r="A248" s="11"/>
      <c r="B248" s="11"/>
      <c r="C248" s="11"/>
      <c r="D248" s="11"/>
      <c r="E248" s="11"/>
      <c r="F248" s="3">
        <f>IF(B248="","",MAX(0,D248-E248))</f>
      </c>
      <c r="G248" s="11"/>
      <c r="H248" s="3">
        <f>IF(B248="","",IF(C248="","כן","לא"))</f>
      </c>
      <c r="I248" s="3">
        <f>IF(B248="","",IF(D248=0,"כן","לא"))</f>
      </c>
      <c r="J248" s="3">
        <f>IF(B248="","",IF(F248&gt;0,"כן","לא"))</f>
      </c>
    </row>
    <row r="249" spans="1:10" x14ac:dyDescent="0.25">
      <c r="A249" s="11"/>
      <c r="B249" s="11"/>
      <c r="C249" s="11"/>
      <c r="D249" s="11"/>
      <c r="E249" s="11"/>
      <c r="F249" s="3">
        <f>IF(B249="","",MAX(0,D249-E249))</f>
      </c>
      <c r="G249" s="11"/>
      <c r="H249" s="3">
        <f>IF(B249="","",IF(C249="","כן","לא"))</f>
      </c>
      <c r="I249" s="3">
        <f>IF(B249="","",IF(D249=0,"כן","לא"))</f>
      </c>
      <c r="J249" s="3">
        <f>IF(B249="","",IF(F249&gt;0,"כן","לא"))</f>
      </c>
    </row>
    <row r="250" spans="1:10" x14ac:dyDescent="0.25">
      <c r="A250" s="11"/>
      <c r="B250" s="11"/>
      <c r="C250" s="11"/>
      <c r="D250" s="11"/>
      <c r="E250" s="11"/>
      <c r="F250" s="3">
        <f>IF(B250="","",MAX(0,D250-E250))</f>
      </c>
      <c r="G250" s="11"/>
      <c r="H250" s="3">
        <f>IF(B250="","",IF(C250="","כן","לא"))</f>
      </c>
      <c r="I250" s="3">
        <f>IF(B250="","",IF(D250=0,"כן","לא"))</f>
      </c>
      <c r="J250" s="3">
        <f>IF(B250="","",IF(F250&gt;0,"כן","לא"))</f>
      </c>
    </row>
    <row r="251" spans="1:10" x14ac:dyDescent="0.25">
      <c r="A251" s="11"/>
      <c r="B251" s="11"/>
      <c r="C251" s="11"/>
      <c r="D251" s="11"/>
      <c r="E251" s="11"/>
      <c r="F251" s="3">
        <f>IF(B251="","",MAX(0,D251-E251))</f>
      </c>
      <c r="G251" s="11"/>
      <c r="H251" s="3">
        <f>IF(B251="","",IF(C251="","כן","לא"))</f>
      </c>
      <c r="I251" s="3">
        <f>IF(B251="","",IF(D251=0,"כן","לא"))</f>
      </c>
      <c r="J251" s="3">
        <f>IF(B251="","",IF(F251&gt;0,"כן","לא"))</f>
      </c>
    </row>
    <row r="252" spans="1:10" x14ac:dyDescent="0.25">
      <c r="A252" s="11"/>
      <c r="B252" s="11"/>
      <c r="C252" s="11"/>
      <c r="D252" s="11"/>
      <c r="E252" s="11"/>
      <c r="F252" s="3">
        <f>IF(B252="","",MAX(0,D252-E252))</f>
      </c>
      <c r="G252" s="11"/>
      <c r="H252" s="3">
        <f>IF(B252="","",IF(C252="","כן","לא"))</f>
      </c>
      <c r="I252" s="3">
        <f>IF(B252="","",IF(D252=0,"כן","לא"))</f>
      </c>
      <c r="J252" s="3">
        <f>IF(B252="","",IF(F252&gt;0,"כן","לא"))</f>
      </c>
    </row>
    <row r="253" spans="1:10" x14ac:dyDescent="0.25">
      <c r="A253" s="11"/>
      <c r="B253" s="11"/>
      <c r="C253" s="11"/>
      <c r="D253" s="11"/>
      <c r="E253" s="11"/>
      <c r="F253" s="3">
        <f>IF(B253="","",MAX(0,D253-E253))</f>
      </c>
      <c r="G253" s="11"/>
      <c r="H253" s="3">
        <f>IF(B253="","",IF(C253="","כן","לא"))</f>
      </c>
      <c r="I253" s="3">
        <f>IF(B253="","",IF(D253=0,"כן","לא"))</f>
      </c>
      <c r="J253" s="3">
        <f>IF(B253="","",IF(F253&gt;0,"כן","לא"))</f>
      </c>
    </row>
    <row r="254" spans="1:10" x14ac:dyDescent="0.25">
      <c r="A254" s="11"/>
      <c r="B254" s="11"/>
      <c r="C254" s="11"/>
      <c r="D254" s="11"/>
      <c r="E254" s="11"/>
      <c r="F254" s="3">
        <f>IF(B254="","",MAX(0,D254-E254))</f>
      </c>
      <c r="G254" s="11"/>
      <c r="H254" s="3">
        <f>IF(B254="","",IF(C254="","כן","לא"))</f>
      </c>
      <c r="I254" s="3">
        <f>IF(B254="","",IF(D254=0,"כן","לא"))</f>
      </c>
      <c r="J254" s="3">
        <f>IF(B254="","",IF(F254&gt;0,"כן","לא"))</f>
      </c>
    </row>
    <row r="255" spans="1:10" x14ac:dyDescent="0.25">
      <c r="A255" s="11"/>
      <c r="B255" s="11"/>
      <c r="C255" s="11"/>
      <c r="D255" s="11"/>
      <c r="E255" s="11"/>
      <c r="F255" s="3">
        <f>IF(B255="","",MAX(0,D255-E255))</f>
      </c>
      <c r="G255" s="11"/>
      <c r="H255" s="3">
        <f>IF(B255="","",IF(C255="","כן","לא"))</f>
      </c>
      <c r="I255" s="3">
        <f>IF(B255="","",IF(D255=0,"כן","לא"))</f>
      </c>
      <c r="J255" s="3">
        <f>IF(B255="","",IF(F255&gt;0,"כן","לא"))</f>
      </c>
    </row>
    <row r="256" spans="1:10" x14ac:dyDescent="0.25">
      <c r="A256" s="11"/>
      <c r="B256" s="11"/>
      <c r="C256" s="11"/>
      <c r="D256" s="11"/>
      <c r="E256" s="11"/>
      <c r="F256" s="3">
        <f>IF(B256="","",MAX(0,D256-E256))</f>
      </c>
      <c r="G256" s="11"/>
      <c r="H256" s="3">
        <f>IF(B256="","",IF(C256="","כן","לא"))</f>
      </c>
      <c r="I256" s="3">
        <f>IF(B256="","",IF(D256=0,"כן","לא"))</f>
      </c>
      <c r="J256" s="3">
        <f>IF(B256="","",IF(F256&gt;0,"כן","לא"))</f>
      </c>
    </row>
    <row r="257" spans="1:10" x14ac:dyDescent="0.25">
      <c r="A257" s="11"/>
      <c r="B257" s="11"/>
      <c r="C257" s="11"/>
      <c r="D257" s="11"/>
      <c r="E257" s="11"/>
      <c r="F257" s="3">
        <f>IF(B257="","",MAX(0,D257-E257))</f>
      </c>
      <c r="G257" s="11"/>
      <c r="H257" s="3">
        <f>IF(B257="","",IF(C257="","כן","לא"))</f>
      </c>
      <c r="I257" s="3">
        <f>IF(B257="","",IF(D257=0,"כן","לא"))</f>
      </c>
      <c r="J257" s="3">
        <f>IF(B257="","",IF(F257&gt;0,"כן","לא"))</f>
      </c>
    </row>
    <row r="258" spans="1:10" x14ac:dyDescent="0.25">
      <c r="A258" s="11"/>
      <c r="B258" s="11"/>
      <c r="C258" s="11"/>
      <c r="D258" s="11"/>
      <c r="E258" s="11"/>
      <c r="F258" s="3">
        <f>IF(B258="","",MAX(0,D258-E258))</f>
      </c>
      <c r="G258" s="11"/>
      <c r="H258" s="3">
        <f>IF(B258="","",IF(C258="","כן","לא"))</f>
      </c>
      <c r="I258" s="3">
        <f>IF(B258="","",IF(D258=0,"כן","לא"))</f>
      </c>
      <c r="J258" s="3">
        <f>IF(B258="","",IF(F258&gt;0,"כן","לא"))</f>
      </c>
    </row>
    <row r="259" spans="1:10" x14ac:dyDescent="0.25">
      <c r="A259" s="11"/>
      <c r="B259" s="11"/>
      <c r="C259" s="11"/>
      <c r="D259" s="11"/>
      <c r="E259" s="11"/>
      <c r="F259" s="3">
        <f>IF(B259="","",MAX(0,D259-E259))</f>
      </c>
      <c r="G259" s="11"/>
      <c r="H259" s="3">
        <f>IF(B259="","",IF(C259="","כן","לא"))</f>
      </c>
      <c r="I259" s="3">
        <f>IF(B259="","",IF(D259=0,"כן","לא"))</f>
      </c>
      <c r="J259" s="3">
        <f>IF(B259="","",IF(F259&gt;0,"כן","לא"))</f>
      </c>
    </row>
    <row r="260" spans="1:10" x14ac:dyDescent="0.25">
      <c r="A260" s="11"/>
      <c r="B260" s="11"/>
      <c r="C260" s="11"/>
      <c r="D260" s="11"/>
      <c r="E260" s="11"/>
      <c r="F260" s="3">
        <f>IF(B260="","",MAX(0,D260-E260))</f>
      </c>
      <c r="G260" s="11"/>
      <c r="H260" s="3">
        <f>IF(B260="","",IF(C260="","כן","לא"))</f>
      </c>
      <c r="I260" s="3">
        <f>IF(B260="","",IF(D260=0,"כן","לא"))</f>
      </c>
      <c r="J260" s="3">
        <f>IF(B260="","",IF(F260&gt;0,"כן","לא"))</f>
      </c>
    </row>
    <row r="261" spans="1:10" x14ac:dyDescent="0.25">
      <c r="A261" s="11"/>
      <c r="B261" s="11"/>
      <c r="C261" s="11"/>
      <c r="D261" s="11"/>
      <c r="E261" s="11"/>
      <c r="F261" s="3">
        <f>IF(B261="","",MAX(0,D261-E261))</f>
      </c>
      <c r="G261" s="11"/>
      <c r="H261" s="3">
        <f>IF(B261="","",IF(C261="","כן","לא"))</f>
      </c>
      <c r="I261" s="3">
        <f>IF(B261="","",IF(D261=0,"כן","לא"))</f>
      </c>
      <c r="J261" s="3">
        <f>IF(B261="","",IF(F261&gt;0,"כן","לא"))</f>
      </c>
    </row>
    <row r="262" spans="1:10" x14ac:dyDescent="0.25">
      <c r="A262" s="11"/>
      <c r="B262" s="11"/>
      <c r="C262" s="11"/>
      <c r="D262" s="11"/>
      <c r="E262" s="11"/>
      <c r="F262" s="3">
        <f>IF(B262="","",MAX(0,D262-E262))</f>
      </c>
      <c r="G262" s="11"/>
      <c r="H262" s="3">
        <f>IF(B262="","",IF(C262="","כן","לא"))</f>
      </c>
      <c r="I262" s="3">
        <f>IF(B262="","",IF(D262=0,"כן","לא"))</f>
      </c>
      <c r="J262" s="3">
        <f>IF(B262="","",IF(F262&gt;0,"כן","לא"))</f>
      </c>
    </row>
    <row r="263" spans="1:10" x14ac:dyDescent="0.25">
      <c r="A263" s="11"/>
      <c r="B263" s="11"/>
      <c r="C263" s="11"/>
      <c r="D263" s="11"/>
      <c r="E263" s="11"/>
      <c r="F263" s="3">
        <f>IF(B263="","",MAX(0,D263-E263))</f>
      </c>
      <c r="G263" s="11"/>
      <c r="H263" s="3">
        <f>IF(B263="","",IF(C263="","כן","לא"))</f>
      </c>
      <c r="I263" s="3">
        <f>IF(B263="","",IF(D263=0,"כן","לא"))</f>
      </c>
      <c r="J263" s="3">
        <f>IF(B263="","",IF(F263&gt;0,"כן","לא"))</f>
      </c>
    </row>
    <row r="264" spans="1:10" x14ac:dyDescent="0.25">
      <c r="A264" s="11"/>
      <c r="B264" s="11"/>
      <c r="C264" s="11"/>
      <c r="D264" s="11"/>
      <c r="E264" s="11"/>
      <c r="F264" s="3">
        <f>IF(B264="","",MAX(0,D264-E264))</f>
      </c>
      <c r="G264" s="11"/>
      <c r="H264" s="3">
        <f>IF(B264="","",IF(C264="","כן","לא"))</f>
      </c>
      <c r="I264" s="3">
        <f>IF(B264="","",IF(D264=0,"כן","לא"))</f>
      </c>
      <c r="J264" s="3">
        <f>IF(B264="","",IF(F264&gt;0,"כן","לא"))</f>
      </c>
    </row>
    <row r="265" spans="1:10" x14ac:dyDescent="0.25">
      <c r="A265" s="11"/>
      <c r="B265" s="11"/>
      <c r="C265" s="11"/>
      <c r="D265" s="11"/>
      <c r="E265" s="11"/>
      <c r="F265" s="3">
        <f>IF(B265="","",MAX(0,D265-E265))</f>
      </c>
      <c r="G265" s="11"/>
      <c r="H265" s="3">
        <f>IF(B265="","",IF(C265="","כן","לא"))</f>
      </c>
      <c r="I265" s="3">
        <f>IF(B265="","",IF(D265=0,"כן","לא"))</f>
      </c>
      <c r="J265" s="3">
        <f>IF(B265="","",IF(F265&gt;0,"כן","לא"))</f>
      </c>
    </row>
    <row r="266" spans="1:10" x14ac:dyDescent="0.25">
      <c r="A266" s="11"/>
      <c r="B266" s="11"/>
      <c r="C266" s="11"/>
      <c r="D266" s="11"/>
      <c r="E266" s="11"/>
      <c r="F266" s="3">
        <f>IF(B266="","",MAX(0,D266-E266))</f>
      </c>
      <c r="G266" s="11"/>
      <c r="H266" s="3">
        <f>IF(B266="","",IF(C266="","כן","לא"))</f>
      </c>
      <c r="I266" s="3">
        <f>IF(B266="","",IF(D266=0,"כן","לא"))</f>
      </c>
      <c r="J266" s="3">
        <f>IF(B266="","",IF(F266&gt;0,"כן","לא"))</f>
      </c>
    </row>
    <row r="267" spans="1:10" x14ac:dyDescent="0.25">
      <c r="A267" s="11"/>
      <c r="B267" s="11"/>
      <c r="C267" s="11"/>
      <c r="D267" s="11"/>
      <c r="E267" s="11"/>
      <c r="F267" s="3">
        <f>IF(B267="","",MAX(0,D267-E267))</f>
      </c>
      <c r="G267" s="11"/>
      <c r="H267" s="3">
        <f>IF(B267="","",IF(C267="","כן","לא"))</f>
      </c>
      <c r="I267" s="3">
        <f>IF(B267="","",IF(D267=0,"כן","לא"))</f>
      </c>
      <c r="J267" s="3">
        <f>IF(B267="","",IF(F267&gt;0,"כן","לא"))</f>
      </c>
    </row>
    <row r="268" spans="1:10" x14ac:dyDescent="0.25">
      <c r="A268" s="11"/>
      <c r="B268" s="11"/>
      <c r="C268" s="11"/>
      <c r="D268" s="11"/>
      <c r="E268" s="11"/>
      <c r="F268" s="3">
        <f>IF(B268="","",MAX(0,D268-E268))</f>
      </c>
      <c r="G268" s="11"/>
      <c r="H268" s="3">
        <f>IF(B268="","",IF(C268="","כן","לא"))</f>
      </c>
      <c r="I268" s="3">
        <f>IF(B268="","",IF(D268=0,"כן","לא"))</f>
      </c>
      <c r="J268" s="3">
        <f>IF(B268="","",IF(F268&gt;0,"כן","לא"))</f>
      </c>
    </row>
    <row r="269" spans="1:10" x14ac:dyDescent="0.25">
      <c r="A269" s="11"/>
      <c r="B269" s="11"/>
      <c r="C269" s="11"/>
      <c r="D269" s="11"/>
      <c r="E269" s="11"/>
      <c r="F269" s="3">
        <f>IF(B269="","",MAX(0,D269-E269))</f>
      </c>
      <c r="G269" s="11"/>
      <c r="H269" s="3">
        <f>IF(B269="","",IF(C269="","כן","לא"))</f>
      </c>
      <c r="I269" s="3">
        <f>IF(B269="","",IF(D269=0,"כן","לא"))</f>
      </c>
      <c r="J269" s="3">
        <f>IF(B269="","",IF(F269&gt;0,"כן","לא"))</f>
      </c>
    </row>
    <row r="270" spans="1:10" x14ac:dyDescent="0.25">
      <c r="A270" s="11"/>
      <c r="B270" s="11"/>
      <c r="C270" s="11"/>
      <c r="D270" s="11"/>
      <c r="E270" s="11"/>
      <c r="F270" s="3">
        <f>IF(B270="","",MAX(0,D270-E270))</f>
      </c>
      <c r="G270" s="11"/>
      <c r="H270" s="3">
        <f>IF(B270="","",IF(C270="","כן","לא"))</f>
      </c>
      <c r="I270" s="3">
        <f>IF(B270="","",IF(D270=0,"כן","לא"))</f>
      </c>
      <c r="J270" s="3">
        <f>IF(B270="","",IF(F270&gt;0,"כן","לא"))</f>
      </c>
    </row>
    <row r="271" spans="1:10" x14ac:dyDescent="0.25">
      <c r="A271" s="11"/>
      <c r="B271" s="11"/>
      <c r="C271" s="11"/>
      <c r="D271" s="11"/>
      <c r="E271" s="11"/>
      <c r="F271" s="3">
        <f>IF(B271="","",MAX(0,D271-E271))</f>
      </c>
      <c r="G271" s="11"/>
      <c r="H271" s="3">
        <f>IF(B271="","",IF(C271="","כן","לא"))</f>
      </c>
      <c r="I271" s="3">
        <f>IF(B271="","",IF(D271=0,"כן","לא"))</f>
      </c>
      <c r="J271" s="3">
        <f>IF(B271="","",IF(F271&gt;0,"כן","לא"))</f>
      </c>
    </row>
    <row r="272" spans="1:10" x14ac:dyDescent="0.25">
      <c r="A272" s="11"/>
      <c r="B272" s="11"/>
      <c r="C272" s="11"/>
      <c r="D272" s="11"/>
      <c r="E272" s="11"/>
      <c r="F272" s="3">
        <f>IF(B272="","",MAX(0,D272-E272))</f>
      </c>
      <c r="G272" s="11"/>
      <c r="H272" s="3">
        <f>IF(B272="","",IF(C272="","כן","לא"))</f>
      </c>
      <c r="I272" s="3">
        <f>IF(B272="","",IF(D272=0,"כן","לא"))</f>
      </c>
      <c r="J272" s="3">
        <f>IF(B272="","",IF(F272&gt;0,"כן","לא"))</f>
      </c>
    </row>
    <row r="273" spans="1:10" x14ac:dyDescent="0.25">
      <c r="A273" s="11"/>
      <c r="B273" s="11"/>
      <c r="C273" s="11"/>
      <c r="D273" s="11"/>
      <c r="E273" s="11"/>
      <c r="F273" s="3">
        <f>IF(B273="","",MAX(0,D273-E273))</f>
      </c>
      <c r="G273" s="11"/>
      <c r="H273" s="3">
        <f>IF(B273="","",IF(C273="","כן","לא"))</f>
      </c>
      <c r="I273" s="3">
        <f>IF(B273="","",IF(D273=0,"כן","לא"))</f>
      </c>
      <c r="J273" s="3">
        <f>IF(B273="","",IF(F273&gt;0,"כן","לא"))</f>
      </c>
    </row>
    <row r="274" spans="1:10" x14ac:dyDescent="0.25">
      <c r="A274" s="11"/>
      <c r="B274" s="11"/>
      <c r="C274" s="11"/>
      <c r="D274" s="11"/>
      <c r="E274" s="11"/>
      <c r="F274" s="3">
        <f>IF(B274="","",MAX(0,D274-E274))</f>
      </c>
      <c r="G274" s="11"/>
      <c r="H274" s="3">
        <f>IF(B274="","",IF(C274="","כן","לא"))</f>
      </c>
      <c r="I274" s="3">
        <f>IF(B274="","",IF(D274=0,"כן","לא"))</f>
      </c>
      <c r="J274" s="3">
        <f>IF(B274="","",IF(F274&gt;0,"כן","לא"))</f>
      </c>
    </row>
    <row r="275" spans="1:10" x14ac:dyDescent="0.25">
      <c r="A275" s="11"/>
      <c r="B275" s="11"/>
      <c r="C275" s="11"/>
      <c r="D275" s="11"/>
      <c r="E275" s="11"/>
      <c r="F275" s="3">
        <f>IF(B275="","",MAX(0,D275-E275))</f>
      </c>
      <c r="G275" s="11"/>
      <c r="H275" s="3">
        <f>IF(B275="","",IF(C275="","כן","לא"))</f>
      </c>
      <c r="I275" s="3">
        <f>IF(B275="","",IF(D275=0,"כן","לא"))</f>
      </c>
      <c r="J275" s="3">
        <f>IF(B275="","",IF(F275&gt;0,"כן","לא"))</f>
      </c>
    </row>
    <row r="276" spans="1:10" x14ac:dyDescent="0.25">
      <c r="A276" s="11"/>
      <c r="B276" s="11"/>
      <c r="C276" s="11"/>
      <c r="D276" s="11"/>
      <c r="E276" s="11"/>
      <c r="F276" s="3">
        <f>IF(B276="","",MAX(0,D276-E276))</f>
      </c>
      <c r="G276" s="11"/>
      <c r="H276" s="3">
        <f>IF(B276="","",IF(C276="","כן","לא"))</f>
      </c>
      <c r="I276" s="3">
        <f>IF(B276="","",IF(D276=0,"כן","לא"))</f>
      </c>
      <c r="J276" s="3">
        <f>IF(B276="","",IF(F276&gt;0,"כן","לא"))</f>
      </c>
    </row>
    <row r="277" spans="1:10" x14ac:dyDescent="0.25">
      <c r="A277" s="11"/>
      <c r="B277" s="11"/>
      <c r="C277" s="11"/>
      <c r="D277" s="11"/>
      <c r="E277" s="11"/>
      <c r="F277" s="3">
        <f>IF(B277="","",MAX(0,D277-E277))</f>
      </c>
      <c r="G277" s="11"/>
      <c r="H277" s="3">
        <f>IF(B277="","",IF(C277="","כן","לא"))</f>
      </c>
      <c r="I277" s="3">
        <f>IF(B277="","",IF(D277=0,"כן","לא"))</f>
      </c>
      <c r="J277" s="3">
        <f>IF(B277="","",IF(F277&gt;0,"כן","לא"))</f>
      </c>
    </row>
    <row r="278" spans="1:10" x14ac:dyDescent="0.25">
      <c r="A278" s="11"/>
      <c r="B278" s="11"/>
      <c r="C278" s="11"/>
      <c r="D278" s="11"/>
      <c r="E278" s="11"/>
      <c r="F278" s="3">
        <f>IF(B278="","",MAX(0,D278-E278))</f>
      </c>
      <c r="G278" s="11"/>
      <c r="H278" s="3">
        <f>IF(B278="","",IF(C278="","כן","לא"))</f>
      </c>
      <c r="I278" s="3">
        <f>IF(B278="","",IF(D278=0,"כן","לא"))</f>
      </c>
      <c r="J278" s="3">
        <f>IF(B278="","",IF(F278&gt;0,"כן","לא"))</f>
      </c>
    </row>
    <row r="279" spans="1:10" x14ac:dyDescent="0.25">
      <c r="A279" s="11"/>
      <c r="B279" s="11"/>
      <c r="C279" s="11"/>
      <c r="D279" s="11"/>
      <c r="E279" s="11"/>
      <c r="F279" s="3">
        <f>IF(B279="","",MAX(0,D279-E279))</f>
      </c>
      <c r="G279" s="11"/>
      <c r="H279" s="3">
        <f>IF(B279="","",IF(C279="","כן","לא"))</f>
      </c>
      <c r="I279" s="3">
        <f>IF(B279="","",IF(D279=0,"כן","לא"))</f>
      </c>
      <c r="J279" s="3">
        <f>IF(B279="","",IF(F279&gt;0,"כן","לא"))</f>
      </c>
    </row>
    <row r="280" spans="1:10" x14ac:dyDescent="0.25">
      <c r="A280" s="11"/>
      <c r="B280" s="11"/>
      <c r="C280" s="11"/>
      <c r="D280" s="11"/>
      <c r="E280" s="11"/>
      <c r="F280" s="3">
        <f>IF(B280="","",MAX(0,D280-E280))</f>
      </c>
      <c r="G280" s="11"/>
      <c r="H280" s="3">
        <f>IF(B280="","",IF(C280="","כן","לא"))</f>
      </c>
      <c r="I280" s="3">
        <f>IF(B280="","",IF(D280=0,"כן","לא"))</f>
      </c>
      <c r="J280" s="3">
        <f>IF(B280="","",IF(F280&gt;0,"כן","לא"))</f>
      </c>
    </row>
    <row r="281" spans="1:10" x14ac:dyDescent="0.25">
      <c r="A281" s="11"/>
      <c r="B281" s="11"/>
      <c r="C281" s="11"/>
      <c r="D281" s="11"/>
      <c r="E281" s="11"/>
      <c r="F281" s="3">
        <f>IF(B281="","",MAX(0,D281-E281))</f>
      </c>
      <c r="G281" s="11"/>
      <c r="H281" s="3">
        <f>IF(B281="","",IF(C281="","כן","לא"))</f>
      </c>
      <c r="I281" s="3">
        <f>IF(B281="","",IF(D281=0,"כן","לא"))</f>
      </c>
      <c r="J281" s="3">
        <f>IF(B281="","",IF(F281&gt;0,"כן","לא"))</f>
      </c>
    </row>
    <row r="282" spans="1:10" x14ac:dyDescent="0.25">
      <c r="A282" s="11"/>
      <c r="B282" s="11"/>
      <c r="C282" s="11"/>
      <c r="D282" s="11"/>
      <c r="E282" s="11"/>
      <c r="F282" s="3">
        <f>IF(B282="","",MAX(0,D282-E282))</f>
      </c>
      <c r="G282" s="11"/>
      <c r="H282" s="3">
        <f>IF(B282="","",IF(C282="","כן","לא"))</f>
      </c>
      <c r="I282" s="3">
        <f>IF(B282="","",IF(D282=0,"כן","לא"))</f>
      </c>
      <c r="J282" s="3">
        <f>IF(B282="","",IF(F282&gt;0,"כן","לא"))</f>
      </c>
    </row>
    <row r="283" spans="1:10" x14ac:dyDescent="0.25">
      <c r="A283" s="11"/>
      <c r="B283" s="11"/>
      <c r="C283" s="11"/>
      <c r="D283" s="11"/>
      <c r="E283" s="11"/>
      <c r="F283" s="3">
        <f>IF(B283="","",MAX(0,D283-E283))</f>
      </c>
      <c r="G283" s="11"/>
      <c r="H283" s="3">
        <f>IF(B283="","",IF(C283="","כן","לא"))</f>
      </c>
      <c r="I283" s="3">
        <f>IF(B283="","",IF(D283=0,"כן","לא"))</f>
      </c>
      <c r="J283" s="3">
        <f>IF(B283="","",IF(F283&gt;0,"כן","לא"))</f>
      </c>
    </row>
    <row r="284" spans="1:10" x14ac:dyDescent="0.25">
      <c r="A284" s="11"/>
      <c r="B284" s="11"/>
      <c r="C284" s="11"/>
      <c r="D284" s="11"/>
      <c r="E284" s="11"/>
      <c r="F284" s="3">
        <f>IF(B284="","",MAX(0,D284-E284))</f>
      </c>
      <c r="G284" s="11"/>
      <c r="H284" s="3">
        <f>IF(B284="","",IF(C284="","כן","לא"))</f>
      </c>
      <c r="I284" s="3">
        <f>IF(B284="","",IF(D284=0,"כן","לא"))</f>
      </c>
      <c r="J284" s="3">
        <f>IF(B284="","",IF(F284&gt;0,"כן","לא"))</f>
      </c>
    </row>
    <row r="285" spans="1:10" x14ac:dyDescent="0.25">
      <c r="A285" s="11"/>
      <c r="B285" s="11"/>
      <c r="C285" s="11"/>
      <c r="D285" s="11"/>
      <c r="E285" s="11"/>
      <c r="F285" s="3">
        <f>IF(B285="","",MAX(0,D285-E285))</f>
      </c>
      <c r="G285" s="11"/>
      <c r="H285" s="3">
        <f>IF(B285="","",IF(C285="","כן","לא"))</f>
      </c>
      <c r="I285" s="3">
        <f>IF(B285="","",IF(D285=0,"כן","לא"))</f>
      </c>
      <c r="J285" s="3">
        <f>IF(B285="","",IF(F285&gt;0,"כן","לא"))</f>
      </c>
    </row>
    <row r="286" spans="1:10" x14ac:dyDescent="0.25">
      <c r="A286" s="11"/>
      <c r="B286" s="11"/>
      <c r="C286" s="11"/>
      <c r="D286" s="11"/>
      <c r="E286" s="11"/>
      <c r="F286" s="3">
        <f>IF(B286="","",MAX(0,D286-E286))</f>
      </c>
      <c r="G286" s="11"/>
      <c r="H286" s="3">
        <f>IF(B286="","",IF(C286="","כן","לא"))</f>
      </c>
      <c r="I286" s="3">
        <f>IF(B286="","",IF(D286=0,"כן","לא"))</f>
      </c>
      <c r="J286" s="3">
        <f>IF(B286="","",IF(F286&gt;0,"כן","לא"))</f>
      </c>
    </row>
    <row r="287" spans="1:10" x14ac:dyDescent="0.25">
      <c r="A287" s="11"/>
      <c r="B287" s="11"/>
      <c r="C287" s="11"/>
      <c r="D287" s="11"/>
      <c r="E287" s="11"/>
      <c r="F287" s="3">
        <f>IF(B287="","",MAX(0,D287-E287))</f>
      </c>
      <c r="G287" s="11"/>
      <c r="H287" s="3">
        <f>IF(B287="","",IF(C287="","כן","לא"))</f>
      </c>
      <c r="I287" s="3">
        <f>IF(B287="","",IF(D287=0,"כן","לא"))</f>
      </c>
      <c r="J287" s="3">
        <f>IF(B287="","",IF(F287&gt;0,"כן","לא"))</f>
      </c>
    </row>
    <row r="288" spans="1:10" x14ac:dyDescent="0.25">
      <c r="A288" s="11"/>
      <c r="B288" s="11"/>
      <c r="C288" s="11"/>
      <c r="D288" s="11"/>
      <c r="E288" s="11"/>
      <c r="F288" s="3">
        <f>IF(B288="","",MAX(0,D288-E288))</f>
      </c>
      <c r="G288" s="11"/>
      <c r="H288" s="3">
        <f>IF(B288="","",IF(C288="","כן","לא"))</f>
      </c>
      <c r="I288" s="3">
        <f>IF(B288="","",IF(D288=0,"כן","לא"))</f>
      </c>
      <c r="J288" s="3">
        <f>IF(B288="","",IF(F288&gt;0,"כן","לא"))</f>
      </c>
    </row>
    <row r="289" spans="1:10" x14ac:dyDescent="0.25">
      <c r="A289" s="11"/>
      <c r="B289" s="11"/>
      <c r="C289" s="11"/>
      <c r="D289" s="11"/>
      <c r="E289" s="11"/>
      <c r="F289" s="3">
        <f>IF(B289="","",MAX(0,D289-E289))</f>
      </c>
      <c r="G289" s="11"/>
      <c r="H289" s="3">
        <f>IF(B289="","",IF(C289="","כן","לא"))</f>
      </c>
      <c r="I289" s="3">
        <f>IF(B289="","",IF(D289=0,"כן","לא"))</f>
      </c>
      <c r="J289" s="3">
        <f>IF(B289="","",IF(F289&gt;0,"כן","לא"))</f>
      </c>
    </row>
    <row r="290" spans="1:10" x14ac:dyDescent="0.25">
      <c r="A290" s="11"/>
      <c r="B290" s="11"/>
      <c r="C290" s="11"/>
      <c r="D290" s="11"/>
      <c r="E290" s="11"/>
      <c r="F290" s="3">
        <f>IF(B290="","",MAX(0,D290-E290))</f>
      </c>
      <c r="G290" s="11"/>
      <c r="H290" s="3">
        <f>IF(B290="","",IF(C290="","כן","לא"))</f>
      </c>
      <c r="I290" s="3">
        <f>IF(B290="","",IF(D290=0,"כן","לא"))</f>
      </c>
      <c r="J290" s="3">
        <f>IF(B290="","",IF(F290&gt;0,"כן","לא"))</f>
      </c>
    </row>
    <row r="291" spans="1:10" x14ac:dyDescent="0.25">
      <c r="A291" s="11"/>
      <c r="B291" s="11"/>
      <c r="C291" s="11"/>
      <c r="D291" s="11"/>
      <c r="E291" s="11"/>
      <c r="F291" s="3">
        <f>IF(B291="","",MAX(0,D291-E291))</f>
      </c>
      <c r="G291" s="11"/>
      <c r="H291" s="3">
        <f>IF(B291="","",IF(C291="","כן","לא"))</f>
      </c>
      <c r="I291" s="3">
        <f>IF(B291="","",IF(D291=0,"כן","לא"))</f>
      </c>
      <c r="J291" s="3">
        <f>IF(B291="","",IF(F291&gt;0,"כן","לא"))</f>
      </c>
    </row>
    <row r="292" spans="1:10" x14ac:dyDescent="0.25">
      <c r="A292" s="11"/>
      <c r="B292" s="11"/>
      <c r="C292" s="11"/>
      <c r="D292" s="11"/>
      <c r="E292" s="11"/>
      <c r="F292" s="3">
        <f>IF(B292="","",MAX(0,D292-E292))</f>
      </c>
      <c r="G292" s="11"/>
      <c r="H292" s="3">
        <f>IF(B292="","",IF(C292="","כן","לא"))</f>
      </c>
      <c r="I292" s="3">
        <f>IF(B292="","",IF(D292=0,"כן","לא"))</f>
      </c>
      <c r="J292" s="3">
        <f>IF(B292="","",IF(F292&gt;0,"כן","לא"))</f>
      </c>
    </row>
    <row r="293" spans="1:10" x14ac:dyDescent="0.25">
      <c r="A293" s="11"/>
      <c r="B293" s="11"/>
      <c r="C293" s="11"/>
      <c r="D293" s="11"/>
      <c r="E293" s="11"/>
      <c r="F293" s="3">
        <f>IF(B293="","",MAX(0,D293-E293))</f>
      </c>
      <c r="G293" s="11"/>
      <c r="H293" s="3">
        <f>IF(B293="","",IF(C293="","כן","לא"))</f>
      </c>
      <c r="I293" s="3">
        <f>IF(B293="","",IF(D293=0,"כן","לא"))</f>
      </c>
      <c r="J293" s="3">
        <f>IF(B293="","",IF(F293&gt;0,"כן","לא"))</f>
      </c>
    </row>
    <row r="294" spans="1:10" x14ac:dyDescent="0.25">
      <c r="A294" s="11"/>
      <c r="B294" s="11"/>
      <c r="C294" s="11"/>
      <c r="D294" s="11"/>
      <c r="E294" s="11"/>
      <c r="F294" s="3">
        <f>IF(B294="","",MAX(0,D294-E294))</f>
      </c>
      <c r="G294" s="11"/>
      <c r="H294" s="3">
        <f>IF(B294="","",IF(C294="","כן","לא"))</f>
      </c>
      <c r="I294" s="3">
        <f>IF(B294="","",IF(D294=0,"כן","לא"))</f>
      </c>
      <c r="J294" s="3">
        <f>IF(B294="","",IF(F294&gt;0,"כן","לא"))</f>
      </c>
    </row>
    <row r="295" spans="1:10" x14ac:dyDescent="0.25">
      <c r="A295" s="11"/>
      <c r="B295" s="11"/>
      <c r="C295" s="11"/>
      <c r="D295" s="11"/>
      <c r="E295" s="11"/>
      <c r="F295" s="3">
        <f>IF(B295="","",MAX(0,D295-E295))</f>
      </c>
      <c r="G295" s="11"/>
      <c r="H295" s="3">
        <f>IF(B295="","",IF(C295="","כן","לא"))</f>
      </c>
      <c r="I295" s="3">
        <f>IF(B295="","",IF(D295=0,"כן","לא"))</f>
      </c>
      <c r="J295" s="3">
        <f>IF(B295="","",IF(F295&gt;0,"כן","לא"))</f>
      </c>
    </row>
    <row r="296" spans="1:10" x14ac:dyDescent="0.25">
      <c r="A296" s="11"/>
      <c r="B296" s="11"/>
      <c r="C296" s="11"/>
      <c r="D296" s="11"/>
      <c r="E296" s="11"/>
      <c r="F296" s="3">
        <f>IF(B296="","",MAX(0,D296-E296))</f>
      </c>
      <c r="G296" s="11"/>
      <c r="H296" s="3">
        <f>IF(B296="","",IF(C296="","כן","לא"))</f>
      </c>
      <c r="I296" s="3">
        <f>IF(B296="","",IF(D296=0,"כן","לא"))</f>
      </c>
      <c r="J296" s="3">
        <f>IF(B296="","",IF(F296&gt;0,"כן","לא"))</f>
      </c>
    </row>
    <row r="297" spans="1:10" x14ac:dyDescent="0.25">
      <c r="A297" s="11"/>
      <c r="B297" s="11"/>
      <c r="C297" s="11"/>
      <c r="D297" s="11"/>
      <c r="E297" s="11"/>
      <c r="F297" s="3">
        <f>IF(B297="","",MAX(0,D297-E297))</f>
      </c>
      <c r="G297" s="11"/>
      <c r="H297" s="3">
        <f>IF(B297="","",IF(C297="","כן","לא"))</f>
      </c>
      <c r="I297" s="3">
        <f>IF(B297="","",IF(D297=0,"כן","לא"))</f>
      </c>
      <c r="J297" s="3">
        <f>IF(B297="","",IF(F297&gt;0,"כן","לא"))</f>
      </c>
    </row>
    <row r="298" spans="1:10" x14ac:dyDescent="0.25">
      <c r="A298" s="11"/>
      <c r="B298" s="11"/>
      <c r="C298" s="11"/>
      <c r="D298" s="11"/>
      <c r="E298" s="11"/>
      <c r="F298" s="3">
        <f>IF(B298="","",MAX(0,D298-E298))</f>
      </c>
      <c r="G298" s="11"/>
      <c r="H298" s="3">
        <f>IF(B298="","",IF(C298="","כן","לא"))</f>
      </c>
      <c r="I298" s="3">
        <f>IF(B298="","",IF(D298=0,"כן","לא"))</f>
      </c>
      <c r="J298" s="3">
        <f>IF(B298="","",IF(F298&gt;0,"כן","לא"))</f>
      </c>
    </row>
    <row r="299" spans="1:10" x14ac:dyDescent="0.25">
      <c r="A299" s="11"/>
      <c r="B299" s="11"/>
      <c r="C299" s="11"/>
      <c r="D299" s="11"/>
      <c r="E299" s="11"/>
      <c r="F299" s="3">
        <f>IF(B299="","",MAX(0,D299-E299))</f>
      </c>
      <c r="G299" s="11"/>
      <c r="H299" s="3">
        <f>IF(B299="","",IF(C299="","כן","לא"))</f>
      </c>
      <c r="I299" s="3">
        <f>IF(B299="","",IF(D299=0,"כן","לא"))</f>
      </c>
      <c r="J299" s="3">
        <f>IF(B299="","",IF(F299&gt;0,"כן","לא"))</f>
      </c>
    </row>
    <row r="300" spans="1:10" x14ac:dyDescent="0.25">
      <c r="A300" s="11"/>
      <c r="B300" s="11"/>
      <c r="C300" s="11"/>
      <c r="D300" s="11"/>
      <c r="E300" s="11"/>
      <c r="F300" s="3">
        <f>IF(B300="","",MAX(0,D300-E300))</f>
      </c>
      <c r="G300" s="11"/>
      <c r="H300" s="3">
        <f>IF(B300="","",IF(C300="","כן","לא"))</f>
      </c>
      <c r="I300" s="3">
        <f>IF(B300="","",IF(D300=0,"כן","לא"))</f>
      </c>
      <c r="J300" s="3">
        <f>IF(B300="","",IF(F300&gt;0,"כן","לא"))</f>
      </c>
    </row>
    <row r="301" spans="1:10" x14ac:dyDescent="0.25">
      <c r="A301" s="11"/>
      <c r="B301" s="11"/>
      <c r="C301" s="11"/>
      <c r="D301" s="11"/>
      <c r="E301" s="11"/>
      <c r="F301" s="3">
        <f>IF(B301="","",MAX(0,D301-E301))</f>
      </c>
      <c r="G301" s="11"/>
      <c r="H301" s="3">
        <f>IF(B301="","",IF(C301="","כן","לא"))</f>
      </c>
      <c r="I301" s="3">
        <f>IF(B301="","",IF(D301=0,"כן","לא"))</f>
      </c>
      <c r="J301" s="3">
        <f>IF(B301="","",IF(F301&gt;0,"כן","לא"))</f>
      </c>
    </row>
    <row r="302" spans="1:10" x14ac:dyDescent="0.25">
      <c r="A302" s="11"/>
      <c r="B302" s="11"/>
      <c r="C302" s="11"/>
      <c r="D302" s="11"/>
      <c r="E302" s="11"/>
      <c r="F302" s="3">
        <f>IF(B302="","",MAX(0,D302-E302))</f>
      </c>
      <c r="G302" s="11"/>
      <c r="H302" s="3">
        <f>IF(B302="","",IF(C302="","כן","לא"))</f>
      </c>
      <c r="I302" s="3">
        <f>IF(B302="","",IF(D302=0,"כן","לא"))</f>
      </c>
      <c r="J302" s="3">
        <f>IF(B302="","",IF(F302&gt;0,"כן","לא"))</f>
      </c>
    </row>
    <row r="303" spans="1:10" x14ac:dyDescent="0.25">
      <c r="A303" s="11"/>
      <c r="B303" s="11"/>
      <c r="C303" s="11"/>
      <c r="D303" s="11"/>
      <c r="E303" s="11"/>
      <c r="F303" s="3">
        <f>IF(B303="","",MAX(0,D303-E303))</f>
      </c>
      <c r="G303" s="11"/>
      <c r="H303" s="3">
        <f>IF(B303="","",IF(C303="","כן","לא"))</f>
      </c>
      <c r="I303" s="3">
        <f>IF(B303="","",IF(D303=0,"כן","לא"))</f>
      </c>
      <c r="J303" s="3">
        <f>IF(B303="","",IF(F303&gt;0,"כן","לא"))</f>
      </c>
    </row>
    <row r="304" spans="1:10" x14ac:dyDescent="0.25">
      <c r="A304" s="11"/>
      <c r="B304" s="11"/>
      <c r="C304" s="11"/>
      <c r="D304" s="11"/>
      <c r="E304" s="11"/>
      <c r="F304" s="3">
        <f>IF(B304="","",MAX(0,D304-E304))</f>
      </c>
      <c r="G304" s="11"/>
      <c r="H304" s="3">
        <f>IF(B304="","",IF(C304="","כן","לא"))</f>
      </c>
      <c r="I304" s="3">
        <f>IF(B304="","",IF(D304=0,"כן","לא"))</f>
      </c>
      <c r="J304" s="3">
        <f>IF(B304="","",IF(F304&gt;0,"כן","לא"))</f>
      </c>
    </row>
    <row r="305" spans="1:10" x14ac:dyDescent="0.25">
      <c r="A305" s="11"/>
      <c r="B305" s="11"/>
      <c r="C305" s="11"/>
      <c r="D305" s="11"/>
      <c r="E305" s="11"/>
      <c r="F305" s="3">
        <f>IF(B305="","",MAX(0,D305-E305))</f>
      </c>
      <c r="G305" s="11"/>
      <c r="H305" s="3">
        <f>IF(B305="","",IF(C305="","כן","לא"))</f>
      </c>
      <c r="I305" s="3">
        <f>IF(B305="","",IF(D305=0,"כן","לא"))</f>
      </c>
      <c r="J305" s="3">
        <f>IF(B305="","",IF(F305&gt;0,"כן","לא"))</f>
      </c>
    </row>
    <row r="306" spans="1:10" x14ac:dyDescent="0.25">
      <c r="A306" s="11"/>
      <c r="B306" s="11"/>
      <c r="C306" s="11"/>
      <c r="D306" s="11"/>
      <c r="E306" s="11"/>
      <c r="F306" s="3">
        <f>IF(B306="","",MAX(0,D306-E306))</f>
      </c>
      <c r="G306" s="11"/>
      <c r="H306" s="3">
        <f>IF(B306="","",IF(C306="","כן","לא"))</f>
      </c>
      <c r="I306" s="3">
        <f>IF(B306="","",IF(D306=0,"כן","לא"))</f>
      </c>
      <c r="J306" s="3">
        <f>IF(B306="","",IF(F306&gt;0,"כן","לא"))</f>
      </c>
    </row>
    <row r="307" spans="1:10" x14ac:dyDescent="0.25">
      <c r="A307" s="11"/>
      <c r="B307" s="11"/>
      <c r="C307" s="11"/>
      <c r="D307" s="11"/>
      <c r="E307" s="11"/>
      <c r="F307" s="3">
        <f>IF(B307="","",MAX(0,D307-E307))</f>
      </c>
      <c r="G307" s="11"/>
      <c r="H307" s="3">
        <f>IF(B307="","",IF(C307="","כן","לא"))</f>
      </c>
      <c r="I307" s="3">
        <f>IF(B307="","",IF(D307=0,"כן","לא"))</f>
      </c>
      <c r="J307" s="3">
        <f>IF(B307="","",IF(F307&gt;0,"כן","לא"))</f>
      </c>
    </row>
    <row r="308" spans="1:10" x14ac:dyDescent="0.25">
      <c r="A308" s="11"/>
      <c r="B308" s="11"/>
      <c r="C308" s="11"/>
      <c r="D308" s="11"/>
      <c r="E308" s="11"/>
      <c r="F308" s="3">
        <f>IF(B308="","",MAX(0,D308-E308))</f>
      </c>
      <c r="G308" s="11"/>
      <c r="H308" s="3">
        <f>IF(B308="","",IF(C308="","כן","לא"))</f>
      </c>
      <c r="I308" s="3">
        <f>IF(B308="","",IF(D308=0,"כן","לא"))</f>
      </c>
      <c r="J308" s="3">
        <f>IF(B308="","",IF(F308&gt;0,"כן","לא"))</f>
      </c>
    </row>
    <row r="309" spans="1:10" x14ac:dyDescent="0.25">
      <c r="A309" s="11"/>
      <c r="B309" s="11"/>
      <c r="C309" s="11"/>
      <c r="D309" s="11"/>
      <c r="E309" s="11"/>
      <c r="F309" s="3">
        <f>IF(B309="","",MAX(0,D309-E309))</f>
      </c>
      <c r="G309" s="11"/>
      <c r="H309" s="3">
        <f>IF(B309="","",IF(C309="","כן","לא"))</f>
      </c>
      <c r="I309" s="3">
        <f>IF(B309="","",IF(D309=0,"כן","לא"))</f>
      </c>
      <c r="J309" s="3">
        <f>IF(B309="","",IF(F309&gt;0,"כן","לא"))</f>
      </c>
    </row>
    <row r="310" spans="1:10" x14ac:dyDescent="0.25">
      <c r="A310" s="11"/>
      <c r="B310" s="11"/>
      <c r="C310" s="11"/>
      <c r="D310" s="11"/>
      <c r="E310" s="11"/>
      <c r="F310" s="3">
        <f>IF(B310="","",MAX(0,D310-E310))</f>
      </c>
      <c r="G310" s="11"/>
      <c r="H310" s="3">
        <f>IF(B310="","",IF(C310="","כן","לא"))</f>
      </c>
      <c r="I310" s="3">
        <f>IF(B310="","",IF(D310=0,"כן","לא"))</f>
      </c>
      <c r="J310" s="3">
        <f>IF(B310="","",IF(F310&gt;0,"כן","לא"))</f>
      </c>
    </row>
    <row r="311" spans="1:10" x14ac:dyDescent="0.25">
      <c r="A311" s="11"/>
      <c r="B311" s="11"/>
      <c r="C311" s="11"/>
      <c r="D311" s="11"/>
      <c r="E311" s="11"/>
      <c r="F311" s="3">
        <f>IF(B311="","",MAX(0,D311-E311))</f>
      </c>
      <c r="G311" s="11"/>
      <c r="H311" s="3">
        <f>IF(B311="","",IF(C311="","כן","לא"))</f>
      </c>
      <c r="I311" s="3">
        <f>IF(B311="","",IF(D311=0,"כן","לא"))</f>
      </c>
      <c r="J311" s="3">
        <f>IF(B311="","",IF(F311&gt;0,"כן","לא"))</f>
      </c>
    </row>
    <row r="312" spans="1:10" x14ac:dyDescent="0.25">
      <c r="A312" s="11"/>
      <c r="B312" s="11"/>
      <c r="C312" s="11"/>
      <c r="D312" s="11"/>
      <c r="E312" s="11"/>
      <c r="F312" s="3">
        <f>IF(B312="","",MAX(0,D312-E312))</f>
      </c>
      <c r="G312" s="11"/>
      <c r="H312" s="3">
        <f>IF(B312="","",IF(C312="","כן","לא"))</f>
      </c>
      <c r="I312" s="3">
        <f>IF(B312="","",IF(D312=0,"כן","לא"))</f>
      </c>
      <c r="J312" s="3">
        <f>IF(B312="","",IF(F312&gt;0,"כן","לא"))</f>
      </c>
    </row>
    <row r="313" spans="1:10" x14ac:dyDescent="0.25">
      <c r="A313" s="11"/>
      <c r="B313" s="11"/>
      <c r="C313" s="11"/>
      <c r="D313" s="11"/>
      <c r="E313" s="11"/>
      <c r="F313" s="3">
        <f>IF(B313="","",MAX(0,D313-E313))</f>
      </c>
      <c r="G313" s="11"/>
      <c r="H313" s="3">
        <f>IF(B313="","",IF(C313="","כן","לא"))</f>
      </c>
      <c r="I313" s="3">
        <f>IF(B313="","",IF(D313=0,"כן","לא"))</f>
      </c>
      <c r="J313" s="3">
        <f>IF(B313="","",IF(F313&gt;0,"כן","לא"))</f>
      </c>
    </row>
    <row r="314" spans="1:10" x14ac:dyDescent="0.25">
      <c r="A314" s="11"/>
      <c r="B314" s="11"/>
      <c r="C314" s="11"/>
      <c r="D314" s="11"/>
      <c r="E314" s="11"/>
      <c r="F314" s="3">
        <f>IF(B314="","",MAX(0,D314-E314))</f>
      </c>
      <c r="G314" s="11"/>
      <c r="H314" s="3">
        <f>IF(B314="","",IF(C314="","כן","לא"))</f>
      </c>
      <c r="I314" s="3">
        <f>IF(B314="","",IF(D314=0,"כן","לא"))</f>
      </c>
      <c r="J314" s="3">
        <f>IF(B314="","",IF(F314&gt;0,"כן","לא"))</f>
      </c>
    </row>
    <row r="315" spans="1:10" x14ac:dyDescent="0.25">
      <c r="A315" s="11"/>
      <c r="B315" s="11"/>
      <c r="C315" s="11"/>
      <c r="D315" s="11"/>
      <c r="E315" s="11"/>
      <c r="F315" s="3">
        <f>IF(B315="","",MAX(0,D315-E315))</f>
      </c>
      <c r="G315" s="11"/>
      <c r="H315" s="3">
        <f>IF(B315="","",IF(C315="","כן","לא"))</f>
      </c>
      <c r="I315" s="3">
        <f>IF(B315="","",IF(D315=0,"כן","לא"))</f>
      </c>
      <c r="J315" s="3">
        <f>IF(B315="","",IF(F315&gt;0,"כן","לא"))</f>
      </c>
    </row>
    <row r="316" spans="1:10" x14ac:dyDescent="0.25">
      <c r="A316" s="11"/>
      <c r="B316" s="11"/>
      <c r="C316" s="11"/>
      <c r="D316" s="11"/>
      <c r="E316" s="11"/>
      <c r="F316" s="3">
        <f>IF(B316="","",MAX(0,D316-E316))</f>
      </c>
      <c r="G316" s="11"/>
      <c r="H316" s="3">
        <f>IF(B316="","",IF(C316="","כן","לא"))</f>
      </c>
      <c r="I316" s="3">
        <f>IF(B316="","",IF(D316=0,"כן","לא"))</f>
      </c>
      <c r="J316" s="3">
        <f>IF(B316="","",IF(F316&gt;0,"כן","לא"))</f>
      </c>
    </row>
    <row r="317" spans="1:10" x14ac:dyDescent="0.25">
      <c r="A317" s="11"/>
      <c r="B317" s="11"/>
      <c r="C317" s="11"/>
      <c r="D317" s="11"/>
      <c r="E317" s="11"/>
      <c r="F317" s="3">
        <f>IF(B317="","",MAX(0,D317-E317))</f>
      </c>
      <c r="G317" s="11"/>
      <c r="H317" s="3">
        <f>IF(B317="","",IF(C317="","כן","לא"))</f>
      </c>
      <c r="I317" s="3">
        <f>IF(B317="","",IF(D317=0,"כן","לא"))</f>
      </c>
      <c r="J317" s="3">
        <f>IF(B317="","",IF(F317&gt;0,"כן","לא"))</f>
      </c>
    </row>
    <row r="318" spans="1:10" x14ac:dyDescent="0.25">
      <c r="A318" s="11"/>
      <c r="B318" s="11"/>
      <c r="C318" s="11"/>
      <c r="D318" s="11"/>
      <c r="E318" s="11"/>
      <c r="F318" s="3">
        <f>IF(B318="","",MAX(0,D318-E318))</f>
      </c>
      <c r="G318" s="11"/>
      <c r="H318" s="3">
        <f>IF(B318="","",IF(C318="","כן","לא"))</f>
      </c>
      <c r="I318" s="3">
        <f>IF(B318="","",IF(D318=0,"כן","לא"))</f>
      </c>
      <c r="J318" s="3">
        <f>IF(B318="","",IF(F318&gt;0,"כן","לא"))</f>
      </c>
    </row>
    <row r="319" spans="1:10" x14ac:dyDescent="0.25">
      <c r="A319" s="11"/>
      <c r="B319" s="11"/>
      <c r="C319" s="11"/>
      <c r="D319" s="11"/>
      <c r="E319" s="11"/>
      <c r="F319" s="3">
        <f>IF(B319="","",MAX(0,D319-E319))</f>
      </c>
      <c r="G319" s="11"/>
      <c r="H319" s="3">
        <f>IF(B319="","",IF(C319="","כן","לא"))</f>
      </c>
      <c r="I319" s="3">
        <f>IF(B319="","",IF(D319=0,"כן","לא"))</f>
      </c>
      <c r="J319" s="3">
        <f>IF(B319="","",IF(F319&gt;0,"כן","לא"))</f>
      </c>
    </row>
    <row r="320" spans="1:10" x14ac:dyDescent="0.25">
      <c r="A320" s="11"/>
      <c r="B320" s="11"/>
      <c r="C320" s="11"/>
      <c r="D320" s="11"/>
      <c r="E320" s="11"/>
      <c r="F320" s="3">
        <f>IF(B320="","",MAX(0,D320-E320))</f>
      </c>
      <c r="G320" s="11"/>
      <c r="H320" s="3">
        <f>IF(B320="","",IF(C320="","כן","לא"))</f>
      </c>
      <c r="I320" s="3">
        <f>IF(B320="","",IF(D320=0,"כן","לא"))</f>
      </c>
      <c r="J320" s="3">
        <f>IF(B320="","",IF(F320&gt;0,"כן","לא"))</f>
      </c>
    </row>
    <row r="321" spans="1:10" x14ac:dyDescent="0.25">
      <c r="A321" s="11"/>
      <c r="B321" s="11"/>
      <c r="C321" s="11"/>
      <c r="D321" s="11"/>
      <c r="E321" s="11"/>
      <c r="F321" s="3">
        <f>IF(B321="","",MAX(0,D321-E321))</f>
      </c>
      <c r="G321" s="11"/>
      <c r="H321" s="3">
        <f>IF(B321="","",IF(C321="","כן","לא"))</f>
      </c>
      <c r="I321" s="3">
        <f>IF(B321="","",IF(D321=0,"כן","לא"))</f>
      </c>
      <c r="J321" s="3">
        <f>IF(B321="","",IF(F321&gt;0,"כן","לא"))</f>
      </c>
    </row>
    <row r="322" spans="1:10" x14ac:dyDescent="0.25">
      <c r="A322" s="11"/>
      <c r="B322" s="11"/>
      <c r="C322" s="11"/>
      <c r="D322" s="11"/>
      <c r="E322" s="11"/>
      <c r="F322" s="3">
        <f>IF(B322="","",MAX(0,D322-E322))</f>
      </c>
      <c r="G322" s="11"/>
      <c r="H322" s="3">
        <f>IF(B322="","",IF(C322="","כן","לא"))</f>
      </c>
      <c r="I322" s="3">
        <f>IF(B322="","",IF(D322=0,"כן","לא"))</f>
      </c>
      <c r="J322" s="3">
        <f>IF(B322="","",IF(F322&gt;0,"כן","לא"))</f>
      </c>
    </row>
    <row r="323" spans="1:10" x14ac:dyDescent="0.25">
      <c r="A323" s="11"/>
      <c r="B323" s="11"/>
      <c r="C323" s="11"/>
      <c r="D323" s="11"/>
      <c r="E323" s="11"/>
      <c r="F323" s="3">
        <f>IF(B323="","",MAX(0,D323-E323))</f>
      </c>
      <c r="G323" s="11"/>
      <c r="H323" s="3">
        <f>IF(B323="","",IF(C323="","כן","לא"))</f>
      </c>
      <c r="I323" s="3">
        <f>IF(B323="","",IF(D323=0,"כן","לא"))</f>
      </c>
      <c r="J323" s="3">
        <f>IF(B323="","",IF(F323&gt;0,"כן","לא"))</f>
      </c>
    </row>
    <row r="324" spans="1:10" x14ac:dyDescent="0.25">
      <c r="A324" s="11"/>
      <c r="B324" s="11"/>
      <c r="C324" s="11"/>
      <c r="D324" s="11"/>
      <c r="E324" s="11"/>
      <c r="F324" s="3">
        <f>IF(B324="","",MAX(0,D324-E324))</f>
      </c>
      <c r="G324" s="11"/>
      <c r="H324" s="3">
        <f>IF(B324="","",IF(C324="","כן","לא"))</f>
      </c>
      <c r="I324" s="3">
        <f>IF(B324="","",IF(D324=0,"כן","לא"))</f>
      </c>
      <c r="J324" s="3">
        <f>IF(B324="","",IF(F324&gt;0,"כן","לא"))</f>
      </c>
    </row>
    <row r="325" spans="1:10" x14ac:dyDescent="0.25">
      <c r="A325" s="11"/>
      <c r="B325" s="11"/>
      <c r="C325" s="11"/>
      <c r="D325" s="11"/>
      <c r="E325" s="11"/>
      <c r="F325" s="3">
        <f>IF(B325="","",MAX(0,D325-E325))</f>
      </c>
      <c r="G325" s="11"/>
      <c r="H325" s="3">
        <f>IF(B325="","",IF(C325="","כן","לא"))</f>
      </c>
      <c r="I325" s="3">
        <f>IF(B325="","",IF(D325=0,"כן","לא"))</f>
      </c>
      <c r="J325" s="3">
        <f>IF(B325="","",IF(F325&gt;0,"כן","לא"))</f>
      </c>
    </row>
    <row r="326" spans="1:10" x14ac:dyDescent="0.25">
      <c r="A326" s="11"/>
      <c r="B326" s="11"/>
      <c r="C326" s="11"/>
      <c r="D326" s="11"/>
      <c r="E326" s="11"/>
      <c r="F326" s="3">
        <f>IF(B326="","",MAX(0,D326-E326))</f>
      </c>
      <c r="G326" s="11"/>
      <c r="H326" s="3">
        <f>IF(B326="","",IF(C326="","כן","לא"))</f>
      </c>
      <c r="I326" s="3">
        <f>IF(B326="","",IF(D326=0,"כן","לא"))</f>
      </c>
      <c r="J326" s="3">
        <f>IF(B326="","",IF(F326&gt;0,"כן","לא"))</f>
      </c>
    </row>
    <row r="327" spans="1:10" x14ac:dyDescent="0.25">
      <c r="A327" s="11"/>
      <c r="B327" s="11"/>
      <c r="C327" s="11"/>
      <c r="D327" s="11"/>
      <c r="E327" s="11"/>
      <c r="F327" s="3">
        <f>IF(B327="","",MAX(0,D327-E327))</f>
      </c>
      <c r="G327" s="11"/>
      <c r="H327" s="3">
        <f>IF(B327="","",IF(C327="","כן","לא"))</f>
      </c>
      <c r="I327" s="3">
        <f>IF(B327="","",IF(D327=0,"כן","לא"))</f>
      </c>
      <c r="J327" s="3">
        <f>IF(B327="","",IF(F327&gt;0,"כן","לא"))</f>
      </c>
    </row>
    <row r="328" spans="1:10" x14ac:dyDescent="0.25">
      <c r="A328" s="11"/>
      <c r="B328" s="11"/>
      <c r="C328" s="11"/>
      <c r="D328" s="11"/>
      <c r="E328" s="11"/>
      <c r="F328" s="3">
        <f>IF(B328="","",MAX(0,D328-E328))</f>
      </c>
      <c r="G328" s="11"/>
      <c r="H328" s="3">
        <f>IF(B328="","",IF(C328="","כן","לא"))</f>
      </c>
      <c r="I328" s="3">
        <f>IF(B328="","",IF(D328=0,"כן","לא"))</f>
      </c>
      <c r="J328" s="3">
        <f>IF(B328="","",IF(F328&gt;0,"כן","לא"))</f>
      </c>
    </row>
    <row r="329" spans="1:10" x14ac:dyDescent="0.25">
      <c r="A329" s="11"/>
      <c r="B329" s="11"/>
      <c r="C329" s="11"/>
      <c r="D329" s="11"/>
      <c r="E329" s="11"/>
      <c r="F329" s="3">
        <f>IF(B329="","",MAX(0,D329-E329))</f>
      </c>
      <c r="G329" s="11"/>
      <c r="H329" s="3">
        <f>IF(B329="","",IF(C329="","כן","לא"))</f>
      </c>
      <c r="I329" s="3">
        <f>IF(B329="","",IF(D329=0,"כן","לא"))</f>
      </c>
      <c r="J329" s="3">
        <f>IF(B329="","",IF(F329&gt;0,"כן","לא"))</f>
      </c>
    </row>
    <row r="330" spans="1:10" x14ac:dyDescent="0.25">
      <c r="A330" s="11"/>
      <c r="B330" s="11"/>
      <c r="C330" s="11"/>
      <c r="D330" s="11"/>
      <c r="E330" s="11"/>
      <c r="F330" s="3">
        <f>IF(B330="","",MAX(0,D330-E330))</f>
      </c>
      <c r="G330" s="11"/>
      <c r="H330" s="3">
        <f>IF(B330="","",IF(C330="","כן","לא"))</f>
      </c>
      <c r="I330" s="3">
        <f>IF(B330="","",IF(D330=0,"כן","לא"))</f>
      </c>
      <c r="J330" s="3">
        <f>IF(B330="","",IF(F330&gt;0,"כן","לא"))</f>
      </c>
    </row>
    <row r="331" spans="1:10" x14ac:dyDescent="0.25">
      <c r="A331" s="11"/>
      <c r="B331" s="11"/>
      <c r="C331" s="11"/>
      <c r="D331" s="11"/>
      <c r="E331" s="11"/>
      <c r="F331" s="3">
        <f>IF(B331="","",MAX(0,D331-E331))</f>
      </c>
      <c r="G331" s="11"/>
      <c r="H331" s="3">
        <f>IF(B331="","",IF(C331="","כן","לא"))</f>
      </c>
      <c r="I331" s="3">
        <f>IF(B331="","",IF(D331=0,"כן","לא"))</f>
      </c>
      <c r="J331" s="3">
        <f>IF(B331="","",IF(F331&gt;0,"כן","לא"))</f>
      </c>
    </row>
    <row r="332" spans="1:10" x14ac:dyDescent="0.25">
      <c r="A332" s="11"/>
      <c r="B332" s="11"/>
      <c r="C332" s="11"/>
      <c r="D332" s="11"/>
      <c r="E332" s="11"/>
      <c r="F332" s="3">
        <f>IF(B332="","",MAX(0,D332-E332))</f>
      </c>
      <c r="G332" s="11"/>
      <c r="H332" s="3">
        <f>IF(B332="","",IF(C332="","כן","לא"))</f>
      </c>
      <c r="I332" s="3">
        <f>IF(B332="","",IF(D332=0,"כן","לא"))</f>
      </c>
      <c r="J332" s="3">
        <f>IF(B332="","",IF(F332&gt;0,"כן","לא"))</f>
      </c>
    </row>
    <row r="333" spans="1:10" x14ac:dyDescent="0.25">
      <c r="A333" s="11"/>
      <c r="B333" s="11"/>
      <c r="C333" s="11"/>
      <c r="D333" s="11"/>
      <c r="E333" s="11"/>
      <c r="F333" s="3">
        <f>IF(B333="","",MAX(0,D333-E333))</f>
      </c>
      <c r="G333" s="11"/>
      <c r="H333" s="3">
        <f>IF(B333="","",IF(C333="","כן","לא"))</f>
      </c>
      <c r="I333" s="3">
        <f>IF(B333="","",IF(D333=0,"כן","לא"))</f>
      </c>
      <c r="J333" s="3">
        <f>IF(B333="","",IF(F333&gt;0,"כן","לא"))</f>
      </c>
    </row>
    <row r="334" spans="1:10" x14ac:dyDescent="0.25">
      <c r="A334" s="11"/>
      <c r="B334" s="11"/>
      <c r="C334" s="11"/>
      <c r="D334" s="11"/>
      <c r="E334" s="11"/>
      <c r="F334" s="3">
        <f>IF(B334="","",MAX(0,D334-E334))</f>
      </c>
      <c r="G334" s="11"/>
      <c r="H334" s="3">
        <f>IF(B334="","",IF(C334="","כן","לא"))</f>
      </c>
      <c r="I334" s="3">
        <f>IF(B334="","",IF(D334=0,"כן","לא"))</f>
      </c>
      <c r="J334" s="3">
        <f>IF(B334="","",IF(F334&gt;0,"כן","לא"))</f>
      </c>
    </row>
    <row r="335" spans="1:10" x14ac:dyDescent="0.25">
      <c r="A335" s="11"/>
      <c r="B335" s="11"/>
      <c r="C335" s="11"/>
      <c r="D335" s="11"/>
      <c r="E335" s="11"/>
      <c r="F335" s="3">
        <f>IF(B335="","",MAX(0,D335-E335))</f>
      </c>
      <c r="G335" s="11"/>
      <c r="H335" s="3">
        <f>IF(B335="","",IF(C335="","כן","לא"))</f>
      </c>
      <c r="I335" s="3">
        <f>IF(B335="","",IF(D335=0,"כן","לא"))</f>
      </c>
      <c r="J335" s="3">
        <f>IF(B335="","",IF(F335&gt;0,"כן","לא"))</f>
      </c>
    </row>
    <row r="336" spans="1:10" x14ac:dyDescent="0.25">
      <c r="A336" s="11"/>
      <c r="B336" s="11"/>
      <c r="C336" s="11"/>
      <c r="D336" s="11"/>
      <c r="E336" s="11"/>
      <c r="F336" s="3">
        <f>IF(B336="","",MAX(0,D336-E336))</f>
      </c>
      <c r="G336" s="11"/>
      <c r="H336" s="3">
        <f>IF(B336="","",IF(C336="","כן","לא"))</f>
      </c>
      <c r="I336" s="3">
        <f>IF(B336="","",IF(D336=0,"כן","לא"))</f>
      </c>
      <c r="J336" s="3">
        <f>IF(B336="","",IF(F336&gt;0,"כן","לא"))</f>
      </c>
    </row>
    <row r="337" spans="1:10" x14ac:dyDescent="0.25">
      <c r="A337" s="11"/>
      <c r="B337" s="11"/>
      <c r="C337" s="11"/>
      <c r="D337" s="11"/>
      <c r="E337" s="11"/>
      <c r="F337" s="3">
        <f>IF(B337="","",MAX(0,D337-E337))</f>
      </c>
      <c r="G337" s="11"/>
      <c r="H337" s="3">
        <f>IF(B337="","",IF(C337="","כן","לא"))</f>
      </c>
      <c r="I337" s="3">
        <f>IF(B337="","",IF(D337=0,"כן","לא"))</f>
      </c>
      <c r="J337" s="3">
        <f>IF(B337="","",IF(F337&gt;0,"כן","לא"))</f>
      </c>
    </row>
    <row r="338" spans="1:10" x14ac:dyDescent="0.25">
      <c r="A338" s="11"/>
      <c r="B338" s="11"/>
      <c r="C338" s="11"/>
      <c r="D338" s="11"/>
      <c r="E338" s="11"/>
      <c r="F338" s="3">
        <f>IF(B338="","",MAX(0,D338-E338))</f>
      </c>
      <c r="G338" s="11"/>
      <c r="H338" s="3">
        <f>IF(B338="","",IF(C338="","כן","לא"))</f>
      </c>
      <c r="I338" s="3">
        <f>IF(B338="","",IF(D338=0,"כן","לא"))</f>
      </c>
      <c r="J338" s="3">
        <f>IF(B338="","",IF(F338&gt;0,"כן","לא"))</f>
      </c>
    </row>
    <row r="339" spans="1:10" x14ac:dyDescent="0.25">
      <c r="A339" s="11"/>
      <c r="B339" s="11"/>
      <c r="C339" s="11"/>
      <c r="D339" s="11"/>
      <c r="E339" s="11"/>
      <c r="F339" s="3">
        <f>IF(B339="","",MAX(0,D339-E339))</f>
      </c>
      <c r="G339" s="11"/>
      <c r="H339" s="3">
        <f>IF(B339="","",IF(C339="","כן","לא"))</f>
      </c>
      <c r="I339" s="3">
        <f>IF(B339="","",IF(D339=0,"כן","לא"))</f>
      </c>
      <c r="J339" s="3">
        <f>IF(B339="","",IF(F339&gt;0,"כן","לא"))</f>
      </c>
    </row>
    <row r="340" spans="1:10" x14ac:dyDescent="0.25">
      <c r="A340" s="11"/>
      <c r="B340" s="11"/>
      <c r="C340" s="11"/>
      <c r="D340" s="11"/>
      <c r="E340" s="11"/>
      <c r="F340" s="3">
        <f>IF(B340="","",MAX(0,D340-E340))</f>
      </c>
      <c r="G340" s="11"/>
      <c r="H340" s="3">
        <f>IF(B340="","",IF(C340="","כן","לא"))</f>
      </c>
      <c r="I340" s="3">
        <f>IF(B340="","",IF(D340=0,"כן","לא"))</f>
      </c>
      <c r="J340" s="3">
        <f>IF(B340="","",IF(F340&gt;0,"כן","לא"))</f>
      </c>
    </row>
    <row r="341" spans="1:10" x14ac:dyDescent="0.25">
      <c r="A341" s="11"/>
      <c r="B341" s="11"/>
      <c r="C341" s="11"/>
      <c r="D341" s="11"/>
      <c r="E341" s="11"/>
      <c r="F341" s="3">
        <f>IF(B341="","",MAX(0,D341-E341))</f>
      </c>
      <c r="G341" s="11"/>
      <c r="H341" s="3">
        <f>IF(B341="","",IF(C341="","כן","לא"))</f>
      </c>
      <c r="I341" s="3">
        <f>IF(B341="","",IF(D341=0,"כן","לא"))</f>
      </c>
      <c r="J341" s="3">
        <f>IF(B341="","",IF(F341&gt;0,"כן","לא"))</f>
      </c>
    </row>
    <row r="342" spans="1:10" x14ac:dyDescent="0.25">
      <c r="A342" s="11"/>
      <c r="B342" s="11"/>
      <c r="C342" s="11"/>
      <c r="D342" s="11"/>
      <c r="E342" s="11"/>
      <c r="F342" s="3">
        <f>IF(B342="","",MAX(0,D342-E342))</f>
      </c>
      <c r="G342" s="11"/>
      <c r="H342" s="3">
        <f>IF(B342="","",IF(C342="","כן","לא"))</f>
      </c>
      <c r="I342" s="3">
        <f>IF(B342="","",IF(D342=0,"כן","לא"))</f>
      </c>
      <c r="J342" s="3">
        <f>IF(B342="","",IF(F342&gt;0,"כן","לא"))</f>
      </c>
    </row>
    <row r="343" spans="1:10" x14ac:dyDescent="0.25">
      <c r="A343" s="11"/>
      <c r="B343" s="11"/>
      <c r="C343" s="11"/>
      <c r="D343" s="11"/>
      <c r="E343" s="11"/>
      <c r="F343" s="3">
        <f>IF(B343="","",MAX(0,D343-E343))</f>
      </c>
      <c r="G343" s="11"/>
      <c r="H343" s="3">
        <f>IF(B343="","",IF(C343="","כן","לא"))</f>
      </c>
      <c r="I343" s="3">
        <f>IF(B343="","",IF(D343=0,"כן","לא"))</f>
      </c>
      <c r="J343" s="3">
        <f>IF(B343="","",IF(F343&gt;0,"כן","לא"))</f>
      </c>
    </row>
    <row r="344" spans="1:10" x14ac:dyDescent="0.25">
      <c r="A344" s="11"/>
      <c r="B344" s="11"/>
      <c r="C344" s="11"/>
      <c r="D344" s="11"/>
      <c r="E344" s="11"/>
      <c r="F344" s="3">
        <f>IF(B344="","",MAX(0,D344-E344))</f>
      </c>
      <c r="G344" s="11"/>
      <c r="H344" s="3">
        <f>IF(B344="","",IF(C344="","כן","לא"))</f>
      </c>
      <c r="I344" s="3">
        <f>IF(B344="","",IF(D344=0,"כן","לא"))</f>
      </c>
      <c r="J344" s="3">
        <f>IF(B344="","",IF(F344&gt;0,"כן","לא"))</f>
      </c>
    </row>
    <row r="345" spans="1:10" x14ac:dyDescent="0.25">
      <c r="A345" s="11"/>
      <c r="B345" s="11"/>
      <c r="C345" s="11"/>
      <c r="D345" s="11"/>
      <c r="E345" s="11"/>
      <c r="F345" s="3">
        <f>IF(B345="","",MAX(0,D345-E345))</f>
      </c>
      <c r="G345" s="11"/>
      <c r="H345" s="3">
        <f>IF(B345="","",IF(C345="","כן","לא"))</f>
      </c>
      <c r="I345" s="3">
        <f>IF(B345="","",IF(D345=0,"כן","לא"))</f>
      </c>
      <c r="J345" s="3">
        <f>IF(B345="","",IF(F345&gt;0,"כן","לא"))</f>
      </c>
    </row>
    <row r="346" spans="1:10" x14ac:dyDescent="0.25">
      <c r="A346" s="11"/>
      <c r="B346" s="11"/>
      <c r="C346" s="11"/>
      <c r="D346" s="11"/>
      <c r="E346" s="11"/>
      <c r="F346" s="3">
        <f>IF(B346="","",MAX(0,D346-E346))</f>
      </c>
      <c r="G346" s="11"/>
      <c r="H346" s="3">
        <f>IF(B346="","",IF(C346="","כן","לא"))</f>
      </c>
      <c r="I346" s="3">
        <f>IF(B346="","",IF(D346=0,"כן","לא"))</f>
      </c>
      <c r="J346" s="3">
        <f>IF(B346="","",IF(F346&gt;0,"כן","לא"))</f>
      </c>
    </row>
    <row r="347" spans="1:10" x14ac:dyDescent="0.25">
      <c r="A347" s="11"/>
      <c r="B347" s="11"/>
      <c r="C347" s="11"/>
      <c r="D347" s="11"/>
      <c r="E347" s="11"/>
      <c r="F347" s="3">
        <f>IF(B347="","",MAX(0,D347-E347))</f>
      </c>
      <c r="G347" s="11"/>
      <c r="H347" s="3">
        <f>IF(B347="","",IF(C347="","כן","לא"))</f>
      </c>
      <c r="I347" s="3">
        <f>IF(B347="","",IF(D347=0,"כן","לא"))</f>
      </c>
      <c r="J347" s="3">
        <f>IF(B347="","",IF(F347&gt;0,"כן","לא"))</f>
      </c>
    </row>
    <row r="348" spans="1:10" x14ac:dyDescent="0.25">
      <c r="A348" s="11"/>
      <c r="B348" s="11"/>
      <c r="C348" s="11"/>
      <c r="D348" s="11"/>
      <c r="E348" s="11"/>
      <c r="F348" s="3">
        <f>IF(B348="","",MAX(0,D348-E348))</f>
      </c>
      <c r="G348" s="11"/>
      <c r="H348" s="3">
        <f>IF(B348="","",IF(C348="","כן","לא"))</f>
      </c>
      <c r="I348" s="3">
        <f>IF(B348="","",IF(D348=0,"כן","לא"))</f>
      </c>
      <c r="J348" s="3">
        <f>IF(B348="","",IF(F348&gt;0,"כן","לא"))</f>
      </c>
    </row>
    <row r="349" spans="1:10" x14ac:dyDescent="0.25">
      <c r="A349" s="11"/>
      <c r="B349" s="11"/>
      <c r="C349" s="11"/>
      <c r="D349" s="11"/>
      <c r="E349" s="11"/>
      <c r="F349" s="3">
        <f>IF(B349="","",MAX(0,D349-E349))</f>
      </c>
      <c r="G349" s="11"/>
      <c r="H349" s="3">
        <f>IF(B349="","",IF(C349="","כן","לא"))</f>
      </c>
      <c r="I349" s="3">
        <f>IF(B349="","",IF(D349=0,"כן","לא"))</f>
      </c>
      <c r="J349" s="3">
        <f>IF(B349="","",IF(F349&gt;0,"כן","לא"))</f>
      </c>
    </row>
    <row r="350" spans="1:10" x14ac:dyDescent="0.25">
      <c r="A350" s="11"/>
      <c r="B350" s="11"/>
      <c r="C350" s="11"/>
      <c r="D350" s="11"/>
      <c r="E350" s="11"/>
      <c r="F350" s="3">
        <f>IF(B350="","",MAX(0,D350-E350))</f>
      </c>
      <c r="G350" s="11"/>
      <c r="H350" s="3">
        <f>IF(B350="","",IF(C350="","כן","לא"))</f>
      </c>
      <c r="I350" s="3">
        <f>IF(B350="","",IF(D350=0,"כן","לא"))</f>
      </c>
      <c r="J350" s="3">
        <f>IF(B350="","",IF(F350&gt;0,"כן","לא"))</f>
      </c>
    </row>
    <row r="351" spans="1:10" x14ac:dyDescent="0.25">
      <c r="A351" s="11"/>
      <c r="B351" s="11"/>
      <c r="C351" s="11"/>
      <c r="D351" s="11"/>
      <c r="E351" s="11"/>
      <c r="F351" s="3">
        <f>IF(B351="","",MAX(0,D351-E351))</f>
      </c>
      <c r="G351" s="11"/>
      <c r="H351" s="3">
        <f>IF(B351="","",IF(C351="","כן","לא"))</f>
      </c>
      <c r="I351" s="3">
        <f>IF(B351="","",IF(D351=0,"כן","לא"))</f>
      </c>
      <c r="J351" s="3">
        <f>IF(B351="","",IF(F351&gt;0,"כן","לא"))</f>
      </c>
    </row>
    <row r="352" spans="1:10" x14ac:dyDescent="0.25">
      <c r="A352" s="11"/>
      <c r="B352" s="11"/>
      <c r="C352" s="11"/>
      <c r="D352" s="11"/>
      <c r="E352" s="11"/>
      <c r="F352" s="3">
        <f>IF(B352="","",MAX(0,D352-E352))</f>
      </c>
      <c r="G352" s="11"/>
      <c r="H352" s="3">
        <f>IF(B352="","",IF(C352="","כן","לא"))</f>
      </c>
      <c r="I352" s="3">
        <f>IF(B352="","",IF(D352=0,"כן","לא"))</f>
      </c>
      <c r="J352" s="3">
        <f>IF(B352="","",IF(F352&gt;0,"כן","לא"))</f>
      </c>
    </row>
    <row r="353" spans="1:10" x14ac:dyDescent="0.25">
      <c r="A353" s="11"/>
      <c r="B353" s="11"/>
      <c r="C353" s="11"/>
      <c r="D353" s="11"/>
      <c r="E353" s="11"/>
      <c r="F353" s="3">
        <f>IF(B353="","",MAX(0,D353-E353))</f>
      </c>
      <c r="G353" s="11"/>
      <c r="H353" s="3">
        <f>IF(B353="","",IF(C353="","כן","לא"))</f>
      </c>
      <c r="I353" s="3">
        <f>IF(B353="","",IF(D353=0,"כן","לא"))</f>
      </c>
      <c r="J353" s="3">
        <f>IF(B353="","",IF(F353&gt;0,"כן","לא"))</f>
      </c>
    </row>
    <row r="354" spans="1:10" x14ac:dyDescent="0.25">
      <c r="A354" s="11"/>
      <c r="B354" s="11"/>
      <c r="C354" s="11"/>
      <c r="D354" s="11"/>
      <c r="E354" s="11"/>
      <c r="F354" s="3">
        <f>IF(B354="","",MAX(0,D354-E354))</f>
      </c>
      <c r="G354" s="11"/>
      <c r="H354" s="3">
        <f>IF(B354="","",IF(C354="","כן","לא"))</f>
      </c>
      <c r="I354" s="3">
        <f>IF(B354="","",IF(D354=0,"כן","לא"))</f>
      </c>
      <c r="J354" s="3">
        <f>IF(B354="","",IF(F354&gt;0,"כן","לא"))</f>
      </c>
    </row>
    <row r="355" spans="1:10" x14ac:dyDescent="0.25">
      <c r="A355" s="11"/>
      <c r="B355" s="11"/>
      <c r="C355" s="11"/>
      <c r="D355" s="11"/>
      <c r="E355" s="11"/>
      <c r="F355" s="3">
        <f>IF(B355="","",MAX(0,D355-E355))</f>
      </c>
      <c r="G355" s="11"/>
      <c r="H355" s="3">
        <f>IF(B355="","",IF(C355="","כן","לא"))</f>
      </c>
      <c r="I355" s="3">
        <f>IF(B355="","",IF(D355=0,"כן","לא"))</f>
      </c>
      <c r="J355" s="3">
        <f>IF(B355="","",IF(F355&gt;0,"כן","לא"))</f>
      </c>
    </row>
    <row r="356" spans="1:10" x14ac:dyDescent="0.25">
      <c r="A356" s="11"/>
      <c r="B356" s="11"/>
      <c r="C356" s="11"/>
      <c r="D356" s="11"/>
      <c r="E356" s="11"/>
      <c r="F356" s="3">
        <f>IF(B356="","",MAX(0,D356-E356))</f>
      </c>
      <c r="G356" s="11"/>
      <c r="H356" s="3">
        <f>IF(B356="","",IF(C356="","כן","לא"))</f>
      </c>
      <c r="I356" s="3">
        <f>IF(B356="","",IF(D356=0,"כן","לא"))</f>
      </c>
      <c r="J356" s="3">
        <f>IF(B356="","",IF(F356&gt;0,"כן","לא"))</f>
      </c>
    </row>
    <row r="357" spans="1:10" x14ac:dyDescent="0.25">
      <c r="A357" s="11"/>
      <c r="B357" s="11"/>
      <c r="C357" s="11"/>
      <c r="D357" s="11"/>
      <c r="E357" s="11"/>
      <c r="F357" s="3">
        <f>IF(B357="","",MAX(0,D357-E357))</f>
      </c>
      <c r="G357" s="11"/>
      <c r="H357" s="3">
        <f>IF(B357="","",IF(C357="","כן","לא"))</f>
      </c>
      <c r="I357" s="3">
        <f>IF(B357="","",IF(D357=0,"כן","לא"))</f>
      </c>
      <c r="J357" s="3">
        <f>IF(B357="","",IF(F357&gt;0,"כן","לא"))</f>
      </c>
    </row>
    <row r="358" spans="1:10" x14ac:dyDescent="0.25">
      <c r="A358" s="11"/>
      <c r="B358" s="11"/>
      <c r="C358" s="11"/>
      <c r="D358" s="11"/>
      <c r="E358" s="11"/>
      <c r="F358" s="3">
        <f>IF(B358="","",MAX(0,D358-E358))</f>
      </c>
      <c r="G358" s="11"/>
      <c r="H358" s="3">
        <f>IF(B358="","",IF(C358="","כן","לא"))</f>
      </c>
      <c r="I358" s="3">
        <f>IF(B358="","",IF(D358=0,"כן","לא"))</f>
      </c>
      <c r="J358" s="3">
        <f>IF(B358="","",IF(F358&gt;0,"כן","לא"))</f>
      </c>
    </row>
    <row r="359" spans="1:10" x14ac:dyDescent="0.25">
      <c r="A359" s="11"/>
      <c r="B359" s="11"/>
      <c r="C359" s="11"/>
      <c r="D359" s="11"/>
      <c r="E359" s="11"/>
      <c r="F359" s="3">
        <f>IF(B359="","",MAX(0,D359-E359))</f>
      </c>
      <c r="G359" s="11"/>
      <c r="H359" s="3">
        <f>IF(B359="","",IF(C359="","כן","לא"))</f>
      </c>
      <c r="I359" s="3">
        <f>IF(B359="","",IF(D359=0,"כן","לא"))</f>
      </c>
      <c r="J359" s="3">
        <f>IF(B359="","",IF(F359&gt;0,"כן","לא"))</f>
      </c>
    </row>
    <row r="360" spans="1:10" x14ac:dyDescent="0.25">
      <c r="A360" s="11"/>
      <c r="B360" s="11"/>
      <c r="C360" s="11"/>
      <c r="D360" s="11"/>
      <c r="E360" s="11"/>
      <c r="F360" s="3">
        <f>IF(B360="","",MAX(0,D360-E360))</f>
      </c>
      <c r="G360" s="11"/>
      <c r="H360" s="3">
        <f>IF(B360="","",IF(C360="","כן","לא"))</f>
      </c>
      <c r="I360" s="3">
        <f>IF(B360="","",IF(D360=0,"כן","לא"))</f>
      </c>
      <c r="J360" s="3">
        <f>IF(B360="","",IF(F360&gt;0,"כן","לא"))</f>
      </c>
    </row>
    <row r="361" spans="1:10" x14ac:dyDescent="0.25">
      <c r="A361" s="11"/>
      <c r="B361" s="11"/>
      <c r="C361" s="11"/>
      <c r="D361" s="11"/>
      <c r="E361" s="11"/>
      <c r="F361" s="3">
        <f>IF(B361="","",MAX(0,D361-E361))</f>
      </c>
      <c r="G361" s="11"/>
      <c r="H361" s="3">
        <f>IF(B361="","",IF(C361="","כן","לא"))</f>
      </c>
      <c r="I361" s="3">
        <f>IF(B361="","",IF(D361=0,"כן","לא"))</f>
      </c>
      <c r="J361" s="3">
        <f>IF(B361="","",IF(F361&gt;0,"כן","לא"))</f>
      </c>
    </row>
    <row r="362" spans="1:10" x14ac:dyDescent="0.25">
      <c r="A362" s="11"/>
      <c r="B362" s="11"/>
      <c r="C362" s="11"/>
      <c r="D362" s="11"/>
      <c r="E362" s="11"/>
      <c r="F362" s="3">
        <f>IF(B362="","",MAX(0,D362-E362))</f>
      </c>
      <c r="G362" s="11"/>
      <c r="H362" s="3">
        <f>IF(B362="","",IF(C362="","כן","לא"))</f>
      </c>
      <c r="I362" s="3">
        <f>IF(B362="","",IF(D362=0,"כן","לא"))</f>
      </c>
      <c r="J362" s="3">
        <f>IF(B362="","",IF(F362&gt;0,"כן","לא"))</f>
      </c>
    </row>
    <row r="363" spans="1:10" x14ac:dyDescent="0.25">
      <c r="A363" s="11"/>
      <c r="B363" s="11"/>
      <c r="C363" s="11"/>
      <c r="D363" s="11"/>
      <c r="E363" s="11"/>
      <c r="F363" s="3">
        <f>IF(B363="","",MAX(0,D363-E363))</f>
      </c>
      <c r="G363" s="11"/>
      <c r="H363" s="3">
        <f>IF(B363="","",IF(C363="","כן","לא"))</f>
      </c>
      <c r="I363" s="3">
        <f>IF(B363="","",IF(D363=0,"כן","לא"))</f>
      </c>
      <c r="J363" s="3">
        <f>IF(B363="","",IF(F363&gt;0,"כן","לא"))</f>
      </c>
    </row>
    <row r="364" spans="1:10" x14ac:dyDescent="0.25">
      <c r="A364" s="11"/>
      <c r="B364" s="11"/>
      <c r="C364" s="11"/>
      <c r="D364" s="11"/>
      <c r="E364" s="11"/>
      <c r="F364" s="3">
        <f>IF(B364="","",MAX(0,D364-E364))</f>
      </c>
      <c r="G364" s="11"/>
      <c r="H364" s="3">
        <f>IF(B364="","",IF(C364="","כן","לא"))</f>
      </c>
      <c r="I364" s="3">
        <f>IF(B364="","",IF(D364=0,"כן","לא"))</f>
      </c>
      <c r="J364" s="3">
        <f>IF(B364="","",IF(F364&gt;0,"כן","לא"))</f>
      </c>
    </row>
    <row r="365" spans="1:10" x14ac:dyDescent="0.25">
      <c r="A365" s="11"/>
      <c r="B365" s="11"/>
      <c r="C365" s="11"/>
      <c r="D365" s="11"/>
      <c r="E365" s="11"/>
      <c r="F365" s="3">
        <f>IF(B365="","",MAX(0,D365-E365))</f>
      </c>
      <c r="G365" s="11"/>
      <c r="H365" s="3">
        <f>IF(B365="","",IF(C365="","כן","לא"))</f>
      </c>
      <c r="I365" s="3">
        <f>IF(B365="","",IF(D365=0,"כן","לא"))</f>
      </c>
      <c r="J365" s="3">
        <f>IF(B365="","",IF(F365&gt;0,"כן","לא"))</f>
      </c>
    </row>
    <row r="366" spans="1:10" x14ac:dyDescent="0.25">
      <c r="A366" s="11"/>
      <c r="B366" s="11"/>
      <c r="C366" s="11"/>
      <c r="D366" s="11"/>
      <c r="E366" s="11"/>
      <c r="F366" s="3">
        <f>IF(B366="","",MAX(0,D366-E366))</f>
      </c>
      <c r="G366" s="11"/>
      <c r="H366" s="3">
        <f>IF(B366="","",IF(C366="","כן","לא"))</f>
      </c>
      <c r="I366" s="3">
        <f>IF(B366="","",IF(D366=0,"כן","לא"))</f>
      </c>
      <c r="J366" s="3">
        <f>IF(B366="","",IF(F366&gt;0,"כן","לא"))</f>
      </c>
    </row>
    <row r="367" spans="1:10" x14ac:dyDescent="0.25">
      <c r="A367" s="11"/>
      <c r="B367" s="11"/>
      <c r="C367" s="11"/>
      <c r="D367" s="11"/>
      <c r="E367" s="11"/>
      <c r="F367" s="3">
        <f>IF(B367="","",MAX(0,D367-E367))</f>
      </c>
      <c r="G367" s="11"/>
      <c r="H367" s="3">
        <f>IF(B367="","",IF(C367="","כן","לא"))</f>
      </c>
      <c r="I367" s="3">
        <f>IF(B367="","",IF(D367=0,"כן","לא"))</f>
      </c>
      <c r="J367" s="3">
        <f>IF(B367="","",IF(F367&gt;0,"כן","לא"))</f>
      </c>
    </row>
    <row r="368" spans="1:10" x14ac:dyDescent="0.25">
      <c r="A368" s="11"/>
      <c r="B368" s="11"/>
      <c r="C368" s="11"/>
      <c r="D368" s="11"/>
      <c r="E368" s="11"/>
      <c r="F368" s="3">
        <f>IF(B368="","",MAX(0,D368-E368))</f>
      </c>
      <c r="G368" s="11"/>
      <c r="H368" s="3">
        <f>IF(B368="","",IF(C368="","כן","לא"))</f>
      </c>
      <c r="I368" s="3">
        <f>IF(B368="","",IF(D368=0,"כן","לא"))</f>
      </c>
      <c r="J368" s="3">
        <f>IF(B368="","",IF(F368&gt;0,"כן","לא"))</f>
      </c>
    </row>
    <row r="369" spans="1:10" x14ac:dyDescent="0.25">
      <c r="A369" s="11"/>
      <c r="B369" s="11"/>
      <c r="C369" s="11"/>
      <c r="D369" s="11"/>
      <c r="E369" s="11"/>
      <c r="F369" s="3">
        <f>IF(B369="","",MAX(0,D369-E369))</f>
      </c>
      <c r="G369" s="11"/>
      <c r="H369" s="3">
        <f>IF(B369="","",IF(C369="","כן","לא"))</f>
      </c>
      <c r="I369" s="3">
        <f>IF(B369="","",IF(D369=0,"כן","לא"))</f>
      </c>
      <c r="J369" s="3">
        <f>IF(B369="","",IF(F369&gt;0,"כן","לא"))</f>
      </c>
    </row>
    <row r="370" spans="1:10" x14ac:dyDescent="0.25">
      <c r="A370" s="11"/>
      <c r="B370" s="11"/>
      <c r="C370" s="11"/>
      <c r="D370" s="11"/>
      <c r="E370" s="11"/>
      <c r="F370" s="3">
        <f>IF(B370="","",MAX(0,D370-E370))</f>
      </c>
      <c r="G370" s="11"/>
      <c r="H370" s="3">
        <f>IF(B370="","",IF(C370="","כן","לא"))</f>
      </c>
      <c r="I370" s="3">
        <f>IF(B370="","",IF(D370=0,"כן","לא"))</f>
      </c>
      <c r="J370" s="3">
        <f>IF(B370="","",IF(F370&gt;0,"כן","לא"))</f>
      </c>
    </row>
    <row r="371" spans="1:10" x14ac:dyDescent="0.25">
      <c r="A371" s="11"/>
      <c r="B371" s="11"/>
      <c r="C371" s="11"/>
      <c r="D371" s="11"/>
      <c r="E371" s="11"/>
      <c r="F371" s="3">
        <f>IF(B371="","",MAX(0,D371-E371))</f>
      </c>
      <c r="G371" s="11"/>
      <c r="H371" s="3">
        <f>IF(B371="","",IF(C371="","כן","לא"))</f>
      </c>
      <c r="I371" s="3">
        <f>IF(B371="","",IF(D371=0,"כן","לא"))</f>
      </c>
      <c r="J371" s="3">
        <f>IF(B371="","",IF(F371&gt;0,"כן","לא"))</f>
      </c>
    </row>
    <row r="372" spans="1:10" x14ac:dyDescent="0.25">
      <c r="A372" s="11"/>
      <c r="B372" s="11"/>
      <c r="C372" s="11"/>
      <c r="D372" s="11"/>
      <c r="E372" s="11"/>
      <c r="F372" s="3">
        <f>IF(B372="","",MAX(0,D372-E372))</f>
      </c>
      <c r="G372" s="11"/>
      <c r="H372" s="3">
        <f>IF(B372="","",IF(C372="","כן","לא"))</f>
      </c>
      <c r="I372" s="3">
        <f>IF(B372="","",IF(D372=0,"כן","לא"))</f>
      </c>
      <c r="J372" s="3">
        <f>IF(B372="","",IF(F372&gt;0,"כן","לא"))</f>
      </c>
    </row>
    <row r="373" spans="1:10" x14ac:dyDescent="0.25">
      <c r="A373" s="11"/>
      <c r="B373" s="11"/>
      <c r="C373" s="11"/>
      <c r="D373" s="11"/>
      <c r="E373" s="11"/>
      <c r="F373" s="3">
        <f>IF(B373="","",MAX(0,D373-E373))</f>
      </c>
      <c r="G373" s="11"/>
      <c r="H373" s="3">
        <f>IF(B373="","",IF(C373="","כן","לא"))</f>
      </c>
      <c r="I373" s="3">
        <f>IF(B373="","",IF(D373=0,"כן","לא"))</f>
      </c>
      <c r="J373" s="3">
        <f>IF(B373="","",IF(F373&gt;0,"כן","לא"))</f>
      </c>
    </row>
    <row r="374" spans="1:10" x14ac:dyDescent="0.25">
      <c r="A374" s="11"/>
      <c r="B374" s="11"/>
      <c r="C374" s="11"/>
      <c r="D374" s="11"/>
      <c r="E374" s="11"/>
      <c r="F374" s="3">
        <f>IF(B374="","",MAX(0,D374-E374))</f>
      </c>
      <c r="G374" s="11"/>
      <c r="H374" s="3">
        <f>IF(B374="","",IF(C374="","כן","לא"))</f>
      </c>
      <c r="I374" s="3">
        <f>IF(B374="","",IF(D374=0,"כן","לא"))</f>
      </c>
      <c r="J374" s="3">
        <f>IF(B374="","",IF(F374&gt;0,"כן","לא"))</f>
      </c>
    </row>
    <row r="375" spans="1:10" x14ac:dyDescent="0.25">
      <c r="A375" s="11"/>
      <c r="B375" s="11"/>
      <c r="C375" s="11"/>
      <c r="D375" s="11"/>
      <c r="E375" s="11"/>
      <c r="F375" s="3">
        <f>IF(B375="","",MAX(0,D375-E375))</f>
      </c>
      <c r="G375" s="11"/>
      <c r="H375" s="3">
        <f>IF(B375="","",IF(C375="","כן","לא"))</f>
      </c>
      <c r="I375" s="3">
        <f>IF(B375="","",IF(D375=0,"כן","לא"))</f>
      </c>
      <c r="J375" s="3">
        <f>IF(B375="","",IF(F375&gt;0,"כן","לא"))</f>
      </c>
    </row>
    <row r="376" spans="1:10" x14ac:dyDescent="0.25">
      <c r="A376" s="11"/>
      <c r="B376" s="11"/>
      <c r="C376" s="11"/>
      <c r="D376" s="11"/>
      <c r="E376" s="11"/>
      <c r="F376" s="3">
        <f>IF(B376="","",MAX(0,D376-E376))</f>
      </c>
      <c r="G376" s="11"/>
      <c r="H376" s="3">
        <f>IF(B376="","",IF(C376="","כן","לא"))</f>
      </c>
      <c r="I376" s="3">
        <f>IF(B376="","",IF(D376=0,"כן","לא"))</f>
      </c>
      <c r="J376" s="3">
        <f>IF(B376="","",IF(F376&gt;0,"כן","לא"))</f>
      </c>
    </row>
    <row r="377" spans="1:10" x14ac:dyDescent="0.25">
      <c r="A377" s="11"/>
      <c r="B377" s="11"/>
      <c r="C377" s="11"/>
      <c r="D377" s="11"/>
      <c r="E377" s="11"/>
      <c r="F377" s="3">
        <f>IF(B377="","",MAX(0,D377-E377))</f>
      </c>
      <c r="G377" s="11"/>
      <c r="H377" s="3">
        <f>IF(B377="","",IF(C377="","כן","לא"))</f>
      </c>
      <c r="I377" s="3">
        <f>IF(B377="","",IF(D377=0,"כן","לא"))</f>
      </c>
      <c r="J377" s="3">
        <f>IF(B377="","",IF(F377&gt;0,"כן","לא"))</f>
      </c>
    </row>
    <row r="378" spans="1:10" x14ac:dyDescent="0.25">
      <c r="A378" s="11"/>
      <c r="B378" s="11"/>
      <c r="C378" s="11"/>
      <c r="D378" s="11"/>
      <c r="E378" s="11"/>
      <c r="F378" s="3">
        <f>IF(B378="","",MAX(0,D378-E378))</f>
      </c>
      <c r="G378" s="11"/>
      <c r="H378" s="3">
        <f>IF(B378="","",IF(C378="","כן","לא"))</f>
      </c>
      <c r="I378" s="3">
        <f>IF(B378="","",IF(D378=0,"כן","לא"))</f>
      </c>
      <c r="J378" s="3">
        <f>IF(B378="","",IF(F378&gt;0,"כן","לא"))</f>
      </c>
    </row>
    <row r="379" spans="1:10" x14ac:dyDescent="0.25">
      <c r="A379" s="11"/>
      <c r="B379" s="11"/>
      <c r="C379" s="11"/>
      <c r="D379" s="11"/>
      <c r="E379" s="11"/>
      <c r="F379" s="3">
        <f>IF(B379="","",MAX(0,D379-E379))</f>
      </c>
      <c r="G379" s="11"/>
      <c r="H379" s="3">
        <f>IF(B379="","",IF(C379="","כן","לא"))</f>
      </c>
      <c r="I379" s="3">
        <f>IF(B379="","",IF(D379=0,"כן","לא"))</f>
      </c>
      <c r="J379" s="3">
        <f>IF(B379="","",IF(F379&gt;0,"כן","לא"))</f>
      </c>
    </row>
    <row r="380" spans="1:10" x14ac:dyDescent="0.25">
      <c r="A380" s="11"/>
      <c r="B380" s="11"/>
      <c r="C380" s="11"/>
      <c r="D380" s="11"/>
      <c r="E380" s="11"/>
      <c r="F380" s="3">
        <f>IF(B380="","",MAX(0,D380-E380))</f>
      </c>
      <c r="G380" s="11"/>
      <c r="H380" s="3">
        <f>IF(B380="","",IF(C380="","כן","לא"))</f>
      </c>
      <c r="I380" s="3">
        <f>IF(B380="","",IF(D380=0,"כן","לא"))</f>
      </c>
      <c r="J380" s="3">
        <f>IF(B380="","",IF(F380&gt;0,"כן","לא"))</f>
      </c>
    </row>
    <row r="381" spans="1:10" x14ac:dyDescent="0.25">
      <c r="A381" s="11"/>
      <c r="B381" s="11"/>
      <c r="C381" s="11"/>
      <c r="D381" s="11"/>
      <c r="E381" s="11"/>
      <c r="F381" s="3">
        <f>IF(B381="","",MAX(0,D381-E381))</f>
      </c>
      <c r="G381" s="11"/>
      <c r="H381" s="3">
        <f>IF(B381="","",IF(C381="","כן","לא"))</f>
      </c>
      <c r="I381" s="3">
        <f>IF(B381="","",IF(D381=0,"כן","לא"))</f>
      </c>
      <c r="J381" s="3">
        <f>IF(B381="","",IF(F381&gt;0,"כן","לא"))</f>
      </c>
    </row>
    <row r="382" spans="1:10" x14ac:dyDescent="0.25">
      <c r="A382" s="11"/>
      <c r="B382" s="11"/>
      <c r="C382" s="11"/>
      <c r="D382" s="11"/>
      <c r="E382" s="11"/>
      <c r="F382" s="3">
        <f>IF(B382="","",MAX(0,D382-E382))</f>
      </c>
      <c r="G382" s="11"/>
      <c r="H382" s="3">
        <f>IF(B382="","",IF(C382="","כן","לא"))</f>
      </c>
      <c r="I382" s="3">
        <f>IF(B382="","",IF(D382=0,"כן","לא"))</f>
      </c>
      <c r="J382" s="3">
        <f>IF(B382="","",IF(F382&gt;0,"כן","לא"))</f>
      </c>
    </row>
    <row r="383" spans="1:10" x14ac:dyDescent="0.25">
      <c r="A383" s="11"/>
      <c r="B383" s="11"/>
      <c r="C383" s="11"/>
      <c r="D383" s="11"/>
      <c r="E383" s="11"/>
      <c r="F383" s="3">
        <f>IF(B383="","",MAX(0,D383-E383))</f>
      </c>
      <c r="G383" s="11"/>
      <c r="H383" s="3">
        <f>IF(B383="","",IF(C383="","כן","לא"))</f>
      </c>
      <c r="I383" s="3">
        <f>IF(B383="","",IF(D383=0,"כן","לא"))</f>
      </c>
      <c r="J383" s="3">
        <f>IF(B383="","",IF(F383&gt;0,"כן","לא"))</f>
      </c>
    </row>
    <row r="384" spans="1:10" x14ac:dyDescent="0.25">
      <c r="A384" s="11"/>
      <c r="B384" s="11"/>
      <c r="C384" s="11"/>
      <c r="D384" s="11"/>
      <c r="E384" s="11"/>
      <c r="F384" s="3">
        <f>IF(B384="","",MAX(0,D384-E384))</f>
      </c>
      <c r="G384" s="11"/>
      <c r="H384" s="3">
        <f>IF(B384="","",IF(C384="","כן","לא"))</f>
      </c>
      <c r="I384" s="3">
        <f>IF(B384="","",IF(D384=0,"כן","לא"))</f>
      </c>
      <c r="J384" s="3">
        <f>IF(B384="","",IF(F384&gt;0,"כן","לא"))</f>
      </c>
    </row>
    <row r="385" spans="1:10" x14ac:dyDescent="0.25">
      <c r="A385" s="11"/>
      <c r="B385" s="11"/>
      <c r="C385" s="11"/>
      <c r="D385" s="11"/>
      <c r="E385" s="11"/>
      <c r="F385" s="3">
        <f>IF(B385="","",MAX(0,D385-E385))</f>
      </c>
      <c r="G385" s="11"/>
      <c r="H385" s="3">
        <f>IF(B385="","",IF(C385="","כן","לא"))</f>
      </c>
      <c r="I385" s="3">
        <f>IF(B385="","",IF(D385=0,"כן","לא"))</f>
      </c>
      <c r="J385" s="3">
        <f>IF(B385="","",IF(F385&gt;0,"כן","לא"))</f>
      </c>
    </row>
    <row r="386" spans="1:10" x14ac:dyDescent="0.25">
      <c r="A386" s="11"/>
      <c r="B386" s="11"/>
      <c r="C386" s="11"/>
      <c r="D386" s="11"/>
      <c r="E386" s="11"/>
      <c r="F386" s="3">
        <f>IF(B386="","",MAX(0,D386-E386))</f>
      </c>
      <c r="G386" s="11"/>
      <c r="H386" s="3">
        <f>IF(B386="","",IF(C386="","כן","לא"))</f>
      </c>
      <c r="I386" s="3">
        <f>IF(B386="","",IF(D386=0,"כן","לא"))</f>
      </c>
      <c r="J386" s="3">
        <f>IF(B386="","",IF(F386&gt;0,"כן","לא"))</f>
      </c>
    </row>
    <row r="387" spans="1:10" x14ac:dyDescent="0.25">
      <c r="A387" s="11"/>
      <c r="B387" s="11"/>
      <c r="C387" s="11"/>
      <c r="D387" s="11"/>
      <c r="E387" s="11"/>
      <c r="F387" s="3">
        <f>IF(B387="","",MAX(0,D387-E387))</f>
      </c>
      <c r="G387" s="11"/>
      <c r="H387" s="3">
        <f>IF(B387="","",IF(C387="","כן","לא"))</f>
      </c>
      <c r="I387" s="3">
        <f>IF(B387="","",IF(D387=0,"כן","לא"))</f>
      </c>
      <c r="J387" s="3">
        <f>IF(B387="","",IF(F387&gt;0,"כן","לא"))</f>
      </c>
    </row>
    <row r="388" spans="1:10" x14ac:dyDescent="0.25">
      <c r="A388" s="11"/>
      <c r="B388" s="11"/>
      <c r="C388" s="11"/>
      <c r="D388" s="11"/>
      <c r="E388" s="11"/>
      <c r="F388" s="3">
        <f>IF(B388="","",MAX(0,D388-E388))</f>
      </c>
      <c r="G388" s="11"/>
      <c r="H388" s="3">
        <f>IF(B388="","",IF(C388="","כן","לא"))</f>
      </c>
      <c r="I388" s="3">
        <f>IF(B388="","",IF(D388=0,"כן","לא"))</f>
      </c>
      <c r="J388" s="3">
        <f>IF(B388="","",IF(F388&gt;0,"כן","לא"))</f>
      </c>
    </row>
    <row r="389" spans="1:10" x14ac:dyDescent="0.25">
      <c r="A389" s="11"/>
      <c r="B389" s="11"/>
      <c r="C389" s="11"/>
      <c r="D389" s="11"/>
      <c r="E389" s="11"/>
      <c r="F389" s="3">
        <f>IF(B389="","",MAX(0,D389-E389))</f>
      </c>
      <c r="G389" s="11"/>
      <c r="H389" s="3">
        <f>IF(B389="","",IF(C389="","כן","לא"))</f>
      </c>
      <c r="I389" s="3">
        <f>IF(B389="","",IF(D389=0,"כן","לא"))</f>
      </c>
      <c r="J389" s="3">
        <f>IF(B389="","",IF(F389&gt;0,"כן","לא"))</f>
      </c>
    </row>
    <row r="390" spans="1:10" x14ac:dyDescent="0.25">
      <c r="A390" s="11"/>
      <c r="B390" s="11"/>
      <c r="C390" s="11"/>
      <c r="D390" s="11"/>
      <c r="E390" s="11"/>
      <c r="F390" s="3">
        <f>IF(B390="","",MAX(0,D390-E390))</f>
      </c>
      <c r="G390" s="11"/>
      <c r="H390" s="3">
        <f>IF(B390="","",IF(C390="","כן","לא"))</f>
      </c>
      <c r="I390" s="3">
        <f>IF(B390="","",IF(D390=0,"כן","לא"))</f>
      </c>
      <c r="J390" s="3">
        <f>IF(B390="","",IF(F390&gt;0,"כן","לא"))</f>
      </c>
    </row>
    <row r="391" spans="1:10" x14ac:dyDescent="0.25">
      <c r="A391" s="11"/>
      <c r="B391" s="11"/>
      <c r="C391" s="11"/>
      <c r="D391" s="11"/>
      <c r="E391" s="11"/>
      <c r="F391" s="3">
        <f>IF(B391="","",MAX(0,D391-E391))</f>
      </c>
      <c r="G391" s="11"/>
      <c r="H391" s="3">
        <f>IF(B391="","",IF(C391="","כן","לא"))</f>
      </c>
      <c r="I391" s="3">
        <f>IF(B391="","",IF(D391=0,"כן","לא"))</f>
      </c>
      <c r="J391" s="3">
        <f>IF(B391="","",IF(F391&gt;0,"כן","לא"))</f>
      </c>
    </row>
    <row r="392" spans="1:10" x14ac:dyDescent="0.25">
      <c r="A392" s="11"/>
      <c r="B392" s="11"/>
      <c r="C392" s="11"/>
      <c r="D392" s="11"/>
      <c r="E392" s="11"/>
      <c r="F392" s="3">
        <f>IF(B392="","",MAX(0,D392-E392))</f>
      </c>
      <c r="G392" s="11"/>
      <c r="H392" s="3">
        <f>IF(B392="","",IF(C392="","כן","לא"))</f>
      </c>
      <c r="I392" s="3">
        <f>IF(B392="","",IF(D392=0,"כן","לא"))</f>
      </c>
      <c r="J392" s="3">
        <f>IF(B392="","",IF(F392&gt;0,"כן","לא"))</f>
      </c>
    </row>
    <row r="393" spans="1:10" x14ac:dyDescent="0.25">
      <c r="A393" s="11"/>
      <c r="B393" s="11"/>
      <c r="C393" s="11"/>
      <c r="D393" s="11"/>
      <c r="E393" s="11"/>
      <c r="F393" s="3">
        <f>IF(B393="","",MAX(0,D393-E393))</f>
      </c>
      <c r="G393" s="11"/>
      <c r="H393" s="3">
        <f>IF(B393="","",IF(C393="","כן","לא"))</f>
      </c>
      <c r="I393" s="3">
        <f>IF(B393="","",IF(D393=0,"כן","לא"))</f>
      </c>
      <c r="J393" s="3">
        <f>IF(B393="","",IF(F393&gt;0,"כן","לא"))</f>
      </c>
    </row>
    <row r="394" spans="1:10" x14ac:dyDescent="0.25">
      <c r="A394" s="11"/>
      <c r="B394" s="11"/>
      <c r="C394" s="11"/>
      <c r="D394" s="11"/>
      <c r="E394" s="11"/>
      <c r="F394" s="3">
        <f>IF(B394="","",MAX(0,D394-E394))</f>
      </c>
      <c r="G394" s="11"/>
      <c r="H394" s="3">
        <f>IF(B394="","",IF(C394="","כן","לא"))</f>
      </c>
      <c r="I394" s="3">
        <f>IF(B394="","",IF(D394=0,"כן","לא"))</f>
      </c>
      <c r="J394" s="3">
        <f>IF(B394="","",IF(F394&gt;0,"כן","לא"))</f>
      </c>
    </row>
    <row r="395" spans="1:10" x14ac:dyDescent="0.25">
      <c r="A395" s="11"/>
      <c r="B395" s="11"/>
      <c r="C395" s="11"/>
      <c r="D395" s="11"/>
      <c r="E395" s="11"/>
      <c r="F395" s="3">
        <f>IF(B395="","",MAX(0,D395-E395))</f>
      </c>
      <c r="G395" s="11"/>
      <c r="H395" s="3">
        <f>IF(B395="","",IF(C395="","כן","לא"))</f>
      </c>
      <c r="I395" s="3">
        <f>IF(B395="","",IF(D395=0,"כן","לא"))</f>
      </c>
      <c r="J395" s="3">
        <f>IF(B395="","",IF(F395&gt;0,"כן","לא"))</f>
      </c>
    </row>
    <row r="396" spans="1:10" x14ac:dyDescent="0.25">
      <c r="A396" s="11"/>
      <c r="B396" s="11"/>
      <c r="C396" s="11"/>
      <c r="D396" s="11"/>
      <c r="E396" s="11"/>
      <c r="F396" s="3">
        <f>IF(B396="","",MAX(0,D396-E396))</f>
      </c>
      <c r="G396" s="11"/>
      <c r="H396" s="3">
        <f>IF(B396="","",IF(C396="","כן","לא"))</f>
      </c>
      <c r="I396" s="3">
        <f>IF(B396="","",IF(D396=0,"כן","לא"))</f>
      </c>
      <c r="J396" s="3">
        <f>IF(B396="","",IF(F396&gt;0,"כן","לא"))</f>
      </c>
    </row>
    <row r="397" spans="1:10" x14ac:dyDescent="0.25">
      <c r="A397" s="11"/>
      <c r="B397" s="11"/>
      <c r="C397" s="11"/>
      <c r="D397" s="11"/>
      <c r="E397" s="11"/>
      <c r="F397" s="3">
        <f>IF(B397="","",MAX(0,D397-E397))</f>
      </c>
      <c r="G397" s="11"/>
      <c r="H397" s="3">
        <f>IF(B397="","",IF(C397="","כן","לא"))</f>
      </c>
      <c r="I397" s="3">
        <f>IF(B397="","",IF(D397=0,"כן","לא"))</f>
      </c>
      <c r="J397" s="3">
        <f>IF(B397="","",IF(F397&gt;0,"כן","לא"))</f>
      </c>
    </row>
    <row r="398" spans="1:10" x14ac:dyDescent="0.25">
      <c r="A398" s="11"/>
      <c r="B398" s="11"/>
      <c r="C398" s="11"/>
      <c r="D398" s="11"/>
      <c r="E398" s="11"/>
      <c r="F398" s="3">
        <f>IF(B398="","",MAX(0,D398-E398))</f>
      </c>
      <c r="G398" s="11"/>
      <c r="H398" s="3">
        <f>IF(B398="","",IF(C398="","כן","לא"))</f>
      </c>
      <c r="I398" s="3">
        <f>IF(B398="","",IF(D398=0,"כן","לא"))</f>
      </c>
      <c r="J398" s="3">
        <f>IF(B398="","",IF(F398&gt;0,"כן","לא"))</f>
      </c>
    </row>
    <row r="399" spans="1:10" x14ac:dyDescent="0.25">
      <c r="A399" s="11"/>
      <c r="B399" s="11"/>
      <c r="C399" s="11"/>
      <c r="D399" s="11"/>
      <c r="E399" s="11"/>
      <c r="F399" s="3">
        <f>IF(B399="","",MAX(0,D399-E399))</f>
      </c>
      <c r="G399" s="11"/>
      <c r="H399" s="3">
        <f>IF(B399="","",IF(C399="","כן","לא"))</f>
      </c>
      <c r="I399" s="3">
        <f>IF(B399="","",IF(D399=0,"כן","לא"))</f>
      </c>
      <c r="J399" s="3">
        <f>IF(B399="","",IF(F399&gt;0,"כן","לא"))</f>
      </c>
    </row>
    <row r="400" spans="1:10" x14ac:dyDescent="0.25">
      <c r="A400" s="11"/>
      <c r="B400" s="11"/>
      <c r="C400" s="11"/>
      <c r="D400" s="11"/>
      <c r="E400" s="11"/>
      <c r="F400" s="3">
        <f>IF(B400="","",MAX(0,D400-E400))</f>
      </c>
      <c r="G400" s="11"/>
      <c r="H400" s="3">
        <f>IF(B400="","",IF(C400="","כן","לא"))</f>
      </c>
      <c r="I400" s="3">
        <f>IF(B400="","",IF(D400=0,"כן","לא"))</f>
      </c>
      <c r="J400" s="3">
        <f>IF(B400="","",IF(F400&gt;0,"כן","לא"))</f>
      </c>
    </row>
    <row r="401" spans="1:10" x14ac:dyDescent="0.25">
      <c r="A401" s="11"/>
      <c r="B401" s="11"/>
      <c r="C401" s="11"/>
      <c r="D401" s="11"/>
      <c r="E401" s="11"/>
      <c r="F401" s="3">
        <f>IF(B401="","",MAX(0,D401-E401))</f>
      </c>
      <c r="G401" s="11"/>
      <c r="H401" s="3">
        <f>IF(B401="","",IF(C401="","כן","לא"))</f>
      </c>
      <c r="I401" s="3">
        <f>IF(B401="","",IF(D401=0,"כן","לא"))</f>
      </c>
      <c r="J401" s="3">
        <f>IF(B401="","",IF(F401&gt;0,"כן","לא"))</f>
      </c>
    </row>
    <row r="402" spans="1:10" x14ac:dyDescent="0.25">
      <c r="A402" s="11"/>
      <c r="B402" s="11"/>
      <c r="C402" s="11"/>
      <c r="D402" s="11"/>
      <c r="E402" s="11"/>
      <c r="F402" s="3">
        <f>IF(B402="","",MAX(0,D402-E402))</f>
      </c>
      <c r="G402" s="11"/>
      <c r="H402" s="3">
        <f>IF(B402="","",IF(C402="","כן","לא"))</f>
      </c>
      <c r="I402" s="3">
        <f>IF(B402="","",IF(D402=0,"כן","לא"))</f>
      </c>
      <c r="J402" s="3">
        <f>IF(B402="","",IF(F402&gt;0,"כן","לא"))</f>
      </c>
    </row>
    <row r="403" spans="1:10" x14ac:dyDescent="0.25">
      <c r="A403" s="11"/>
      <c r="B403" s="11"/>
      <c r="C403" s="11"/>
      <c r="D403" s="11"/>
      <c r="E403" s="11"/>
      <c r="F403" s="3">
        <f>IF(B403="","",MAX(0,D403-E403))</f>
      </c>
      <c r="G403" s="11"/>
      <c r="H403" s="3">
        <f>IF(B403="","",IF(C403="","כן","לא"))</f>
      </c>
      <c r="I403" s="3">
        <f>IF(B403="","",IF(D403=0,"כן","לא"))</f>
      </c>
      <c r="J403" s="3">
        <f>IF(B403="","",IF(F403&gt;0,"כן","לא"))</f>
      </c>
    </row>
    <row r="404" spans="1:10" x14ac:dyDescent="0.25">
      <c r="A404" s="11"/>
      <c r="B404" s="11"/>
      <c r="C404" s="11"/>
      <c r="D404" s="11"/>
      <c r="E404" s="11"/>
      <c r="F404" s="3">
        <f>IF(B404="","",MAX(0,D404-E404))</f>
      </c>
      <c r="G404" s="11"/>
      <c r="H404" s="3">
        <f>IF(B404="","",IF(C404="","כן","לא"))</f>
      </c>
      <c r="I404" s="3">
        <f>IF(B404="","",IF(D404=0,"כן","לא"))</f>
      </c>
      <c r="J404" s="3">
        <f>IF(B404="","",IF(F404&gt;0,"כן","לא"))</f>
      </c>
    </row>
    <row r="405" spans="1:10" x14ac:dyDescent="0.25">
      <c r="A405" s="11"/>
      <c r="B405" s="11"/>
      <c r="C405" s="11"/>
      <c r="D405" s="11"/>
      <c r="E405" s="11"/>
      <c r="F405" s="3">
        <f>IF(B405="","",MAX(0,D405-E405))</f>
      </c>
      <c r="G405" s="11"/>
      <c r="H405" s="3">
        <f>IF(B405="","",IF(C405="","כן","לא"))</f>
      </c>
      <c r="I405" s="3">
        <f>IF(B405="","",IF(D405=0,"כן","לא"))</f>
      </c>
      <c r="J405" s="3">
        <f>IF(B405="","",IF(F405&gt;0,"כן","לא"))</f>
      </c>
    </row>
    <row r="406" spans="1:10" x14ac:dyDescent="0.25">
      <c r="A406" s="11"/>
      <c r="B406" s="11"/>
      <c r="C406" s="11"/>
      <c r="D406" s="11"/>
      <c r="E406" s="11"/>
      <c r="F406" s="3">
        <f>IF(B406="","",MAX(0,D406-E406))</f>
      </c>
      <c r="G406" s="11"/>
      <c r="H406" s="3">
        <f>IF(B406="","",IF(C406="","כן","לא"))</f>
      </c>
      <c r="I406" s="3">
        <f>IF(B406="","",IF(D406=0,"כן","לא"))</f>
      </c>
      <c r="J406" s="3">
        <f>IF(B406="","",IF(F406&gt;0,"כן","לא"))</f>
      </c>
    </row>
    <row r="407" spans="1:10" x14ac:dyDescent="0.25">
      <c r="A407" s="11"/>
      <c r="B407" s="11"/>
      <c r="C407" s="11"/>
      <c r="D407" s="11"/>
      <c r="E407" s="11"/>
      <c r="F407" s="3">
        <f>IF(B407="","",MAX(0,D407-E407))</f>
      </c>
      <c r="G407" s="11"/>
      <c r="H407" s="3">
        <f>IF(B407="","",IF(C407="","כן","לא"))</f>
      </c>
      <c r="I407" s="3">
        <f>IF(B407="","",IF(D407=0,"כן","לא"))</f>
      </c>
      <c r="J407" s="3">
        <f>IF(B407="","",IF(F407&gt;0,"כן","לא"))</f>
      </c>
    </row>
    <row r="408" spans="1:10" x14ac:dyDescent="0.25">
      <c r="A408" s="11"/>
      <c r="B408" s="11"/>
      <c r="C408" s="11"/>
      <c r="D408" s="11"/>
      <c r="E408" s="11"/>
      <c r="F408" s="3">
        <f>IF(B408="","",MAX(0,D408-E408))</f>
      </c>
      <c r="G408" s="11"/>
      <c r="H408" s="3">
        <f>IF(B408="","",IF(C408="","כן","לא"))</f>
      </c>
      <c r="I408" s="3">
        <f>IF(B408="","",IF(D408=0,"כן","לא"))</f>
      </c>
      <c r="J408" s="3">
        <f>IF(B408="","",IF(F408&gt;0,"כן","לא"))</f>
      </c>
    </row>
    <row r="409" spans="1:10" x14ac:dyDescent="0.25">
      <c r="A409" s="11"/>
      <c r="B409" s="11"/>
      <c r="C409" s="11"/>
      <c r="D409" s="11"/>
      <c r="E409" s="11"/>
      <c r="F409" s="3">
        <f>IF(B409="","",MAX(0,D409-E409))</f>
      </c>
      <c r="G409" s="11"/>
      <c r="H409" s="3">
        <f>IF(B409="","",IF(C409="","כן","לא"))</f>
      </c>
      <c r="I409" s="3">
        <f>IF(B409="","",IF(D409=0,"כן","לא"))</f>
      </c>
      <c r="J409" s="3">
        <f>IF(B409="","",IF(F409&gt;0,"כן","לא"))</f>
      </c>
    </row>
    <row r="410" spans="1:10" x14ac:dyDescent="0.25">
      <c r="A410" s="11"/>
      <c r="B410" s="11"/>
      <c r="C410" s="11"/>
      <c r="D410" s="11"/>
      <c r="E410" s="11"/>
      <c r="F410" s="3">
        <f>IF(B410="","",MAX(0,D410-E410))</f>
      </c>
      <c r="G410" s="11"/>
      <c r="H410" s="3">
        <f>IF(B410="","",IF(C410="","כן","לא"))</f>
      </c>
      <c r="I410" s="3">
        <f>IF(B410="","",IF(D410=0,"כן","לא"))</f>
      </c>
      <c r="J410" s="3">
        <f>IF(B410="","",IF(F410&gt;0,"כן","לא"))</f>
      </c>
    </row>
    <row r="411" spans="1:10" x14ac:dyDescent="0.25">
      <c r="A411" s="11"/>
      <c r="B411" s="11"/>
      <c r="C411" s="11"/>
      <c r="D411" s="11"/>
      <c r="E411" s="11"/>
      <c r="F411" s="3">
        <f>IF(B411="","",MAX(0,D411-E411))</f>
      </c>
      <c r="G411" s="11"/>
      <c r="H411" s="3">
        <f>IF(B411="","",IF(C411="","כן","לא"))</f>
      </c>
      <c r="I411" s="3">
        <f>IF(B411="","",IF(D411=0,"כן","לא"))</f>
      </c>
      <c r="J411" s="3">
        <f>IF(B411="","",IF(F411&gt;0,"כן","לא"))</f>
      </c>
    </row>
    <row r="412" spans="1:10" x14ac:dyDescent="0.25">
      <c r="A412" s="11"/>
      <c r="B412" s="11"/>
      <c r="C412" s="11"/>
      <c r="D412" s="11"/>
      <c r="E412" s="11"/>
      <c r="F412" s="3">
        <f>IF(B412="","",MAX(0,D412-E412))</f>
      </c>
      <c r="G412" s="11"/>
      <c r="H412" s="3">
        <f>IF(B412="","",IF(C412="","כן","לא"))</f>
      </c>
      <c r="I412" s="3">
        <f>IF(B412="","",IF(D412=0,"כן","לא"))</f>
      </c>
      <c r="J412" s="3">
        <f>IF(B412="","",IF(F412&gt;0,"כן","לא"))</f>
      </c>
    </row>
    <row r="413" spans="1:10" x14ac:dyDescent="0.25">
      <c r="A413" s="11"/>
      <c r="B413" s="11"/>
      <c r="C413" s="11"/>
      <c r="D413" s="11"/>
      <c r="E413" s="11"/>
      <c r="F413" s="3">
        <f>IF(B413="","",MAX(0,D413-E413))</f>
      </c>
      <c r="G413" s="11"/>
      <c r="H413" s="3">
        <f>IF(B413="","",IF(C413="","כן","לא"))</f>
      </c>
      <c r="I413" s="3">
        <f>IF(B413="","",IF(D413=0,"כן","לא"))</f>
      </c>
      <c r="J413" s="3">
        <f>IF(B413="","",IF(F413&gt;0,"כן","לא"))</f>
      </c>
    </row>
    <row r="414" spans="1:10" x14ac:dyDescent="0.25">
      <c r="A414" s="11"/>
      <c r="B414" s="11"/>
      <c r="C414" s="11"/>
      <c r="D414" s="11"/>
      <c r="E414" s="11"/>
      <c r="F414" s="3">
        <f>IF(B414="","",MAX(0,D414-E414))</f>
      </c>
      <c r="G414" s="11"/>
      <c r="H414" s="3">
        <f>IF(B414="","",IF(C414="","כן","לא"))</f>
      </c>
      <c r="I414" s="3">
        <f>IF(B414="","",IF(D414=0,"כן","לא"))</f>
      </c>
      <c r="J414" s="3">
        <f>IF(B414="","",IF(F414&gt;0,"כן","לא"))</f>
      </c>
    </row>
    <row r="415" spans="1:10" x14ac:dyDescent="0.25">
      <c r="A415" s="11"/>
      <c r="B415" s="11"/>
      <c r="C415" s="11"/>
      <c r="D415" s="11"/>
      <c r="E415" s="11"/>
      <c r="F415" s="3">
        <f>IF(B415="","",MAX(0,D415-E415))</f>
      </c>
      <c r="G415" s="11"/>
      <c r="H415" s="3">
        <f>IF(B415="","",IF(C415="","כן","לא"))</f>
      </c>
      <c r="I415" s="3">
        <f>IF(B415="","",IF(D415=0,"כן","לא"))</f>
      </c>
      <c r="J415" s="3">
        <f>IF(B415="","",IF(F415&gt;0,"כן","לא"))</f>
      </c>
    </row>
    <row r="416" spans="1:10" x14ac:dyDescent="0.25">
      <c r="A416" s="11"/>
      <c r="B416" s="11"/>
      <c r="C416" s="11"/>
      <c r="D416" s="11"/>
      <c r="E416" s="11"/>
      <c r="F416" s="3">
        <f>IF(B416="","",MAX(0,D416-E416))</f>
      </c>
      <c r="G416" s="11"/>
      <c r="H416" s="3">
        <f>IF(B416="","",IF(C416="","כן","לא"))</f>
      </c>
      <c r="I416" s="3">
        <f>IF(B416="","",IF(D416=0,"כן","לא"))</f>
      </c>
      <c r="J416" s="3">
        <f>IF(B416="","",IF(F416&gt;0,"כן","לא"))</f>
      </c>
    </row>
    <row r="417" spans="1:10" x14ac:dyDescent="0.25">
      <c r="A417" s="11"/>
      <c r="B417" s="11"/>
      <c r="C417" s="11"/>
      <c r="D417" s="11"/>
      <c r="E417" s="11"/>
      <c r="F417" s="3">
        <f>IF(B417="","",MAX(0,D417-E417))</f>
      </c>
      <c r="G417" s="11"/>
      <c r="H417" s="3">
        <f>IF(B417="","",IF(C417="","כן","לא"))</f>
      </c>
      <c r="I417" s="3">
        <f>IF(B417="","",IF(D417=0,"כן","לא"))</f>
      </c>
      <c r="J417" s="3">
        <f>IF(B417="","",IF(F417&gt;0,"כן","לא"))</f>
      </c>
    </row>
    <row r="418" spans="1:10" x14ac:dyDescent="0.25">
      <c r="A418" s="11"/>
      <c r="B418" s="11"/>
      <c r="C418" s="11"/>
      <c r="D418" s="11"/>
      <c r="E418" s="11"/>
      <c r="F418" s="3">
        <f>IF(B418="","",MAX(0,D418-E418))</f>
      </c>
      <c r="G418" s="11"/>
      <c r="H418" s="3">
        <f>IF(B418="","",IF(C418="","כן","לא"))</f>
      </c>
      <c r="I418" s="3">
        <f>IF(B418="","",IF(D418=0,"כן","לא"))</f>
      </c>
      <c r="J418" s="3">
        <f>IF(B418="","",IF(F418&gt;0,"כן","לא"))</f>
      </c>
    </row>
    <row r="419" spans="1:10" x14ac:dyDescent="0.25">
      <c r="A419" s="11"/>
      <c r="B419" s="11"/>
      <c r="C419" s="11"/>
      <c r="D419" s="11"/>
      <c r="E419" s="11"/>
      <c r="F419" s="3">
        <f>IF(B419="","",MAX(0,D419-E419))</f>
      </c>
      <c r="G419" s="11"/>
      <c r="H419" s="3">
        <f>IF(B419="","",IF(C419="","כן","לא"))</f>
      </c>
      <c r="I419" s="3">
        <f>IF(B419="","",IF(D419=0,"כן","לא"))</f>
      </c>
      <c r="J419" s="3">
        <f>IF(B419="","",IF(F419&gt;0,"כן","לא"))</f>
      </c>
    </row>
    <row r="420" spans="1:10" x14ac:dyDescent="0.25">
      <c r="A420" s="11"/>
      <c r="B420" s="11"/>
      <c r="C420" s="11"/>
      <c r="D420" s="11"/>
      <c r="E420" s="11"/>
      <c r="F420" s="3">
        <f>IF(B420="","",MAX(0,D420-E420))</f>
      </c>
      <c r="G420" s="11"/>
      <c r="H420" s="3">
        <f>IF(B420="","",IF(C420="","כן","לא"))</f>
      </c>
      <c r="I420" s="3">
        <f>IF(B420="","",IF(D420=0,"כן","לא"))</f>
      </c>
      <c r="J420" s="3">
        <f>IF(B420="","",IF(F420&gt;0,"כן","לא"))</f>
      </c>
    </row>
    <row r="421" spans="1:10" x14ac:dyDescent="0.25">
      <c r="A421" s="11"/>
      <c r="B421" s="11"/>
      <c r="C421" s="11"/>
      <c r="D421" s="11"/>
      <c r="E421" s="11"/>
      <c r="F421" s="3">
        <f>IF(B421="","",MAX(0,D421-E421))</f>
      </c>
      <c r="G421" s="11"/>
      <c r="H421" s="3">
        <f>IF(B421="","",IF(C421="","כן","לא"))</f>
      </c>
      <c r="I421" s="3">
        <f>IF(B421="","",IF(D421=0,"כן","לא"))</f>
      </c>
      <c r="J421" s="3">
        <f>IF(B421="","",IF(F421&gt;0,"כן","לא"))</f>
      </c>
    </row>
    <row r="422" spans="1:10" x14ac:dyDescent="0.25">
      <c r="A422" s="11"/>
      <c r="B422" s="11"/>
      <c r="C422" s="11"/>
      <c r="D422" s="11"/>
      <c r="E422" s="11"/>
      <c r="F422" s="3">
        <f>IF(B422="","",MAX(0,D422-E422))</f>
      </c>
      <c r="G422" s="11"/>
      <c r="H422" s="3">
        <f>IF(B422="","",IF(C422="","כן","לא"))</f>
      </c>
      <c r="I422" s="3">
        <f>IF(B422="","",IF(D422=0,"כן","לא"))</f>
      </c>
      <c r="J422" s="3">
        <f>IF(B422="","",IF(F422&gt;0,"כן","לא"))</f>
      </c>
    </row>
    <row r="423" spans="1:10" x14ac:dyDescent="0.25">
      <c r="A423" s="11"/>
      <c r="B423" s="11"/>
      <c r="C423" s="11"/>
      <c r="D423" s="11"/>
      <c r="E423" s="11"/>
      <c r="F423" s="3">
        <f>IF(B423="","",MAX(0,D423-E423))</f>
      </c>
      <c r="G423" s="11"/>
      <c r="H423" s="3">
        <f>IF(B423="","",IF(C423="","כן","לא"))</f>
      </c>
      <c r="I423" s="3">
        <f>IF(B423="","",IF(D423=0,"כן","לא"))</f>
      </c>
      <c r="J423" s="3">
        <f>IF(B423="","",IF(F423&gt;0,"כן","לא"))</f>
      </c>
    </row>
    <row r="424" spans="1:10" x14ac:dyDescent="0.25">
      <c r="A424" s="11"/>
      <c r="B424" s="11"/>
      <c r="C424" s="11"/>
      <c r="D424" s="11"/>
      <c r="E424" s="11"/>
      <c r="F424" s="3">
        <f>IF(B424="","",MAX(0,D424-E424))</f>
      </c>
      <c r="G424" s="11"/>
      <c r="H424" s="3">
        <f>IF(B424="","",IF(C424="","כן","לא"))</f>
      </c>
      <c r="I424" s="3">
        <f>IF(B424="","",IF(D424=0,"כן","לא"))</f>
      </c>
      <c r="J424" s="3">
        <f>IF(B424="","",IF(F424&gt;0,"כן","לא"))</f>
      </c>
    </row>
    <row r="425" spans="1:10" x14ac:dyDescent="0.25">
      <c r="A425" s="11"/>
      <c r="B425" s="11"/>
      <c r="C425" s="11"/>
      <c r="D425" s="11"/>
      <c r="E425" s="11"/>
      <c r="F425" s="3">
        <f>IF(B425="","",MAX(0,D425-E425))</f>
      </c>
      <c r="G425" s="11"/>
      <c r="H425" s="3">
        <f>IF(B425="","",IF(C425="","כן","לא"))</f>
      </c>
      <c r="I425" s="3">
        <f>IF(B425="","",IF(D425=0,"כן","לא"))</f>
      </c>
      <c r="J425" s="3">
        <f>IF(B425="","",IF(F425&gt;0,"כן","לא"))</f>
      </c>
    </row>
    <row r="426" spans="1:10" x14ac:dyDescent="0.25">
      <c r="A426" s="11"/>
      <c r="B426" s="11"/>
      <c r="C426" s="11"/>
      <c r="D426" s="11"/>
      <c r="E426" s="11"/>
      <c r="F426" s="3">
        <f>IF(B426="","",MAX(0,D426-E426))</f>
      </c>
      <c r="G426" s="11"/>
      <c r="H426" s="3">
        <f>IF(B426="","",IF(C426="","כן","לא"))</f>
      </c>
      <c r="I426" s="3">
        <f>IF(B426="","",IF(D426=0,"כן","לא"))</f>
      </c>
      <c r="J426" s="3">
        <f>IF(B426="","",IF(F426&gt;0,"כן","לא"))</f>
      </c>
    </row>
    <row r="427" spans="1:10" x14ac:dyDescent="0.25">
      <c r="A427" s="11"/>
      <c r="B427" s="11"/>
      <c r="C427" s="11"/>
      <c r="D427" s="11"/>
      <c r="E427" s="11"/>
      <c r="F427" s="3">
        <f>IF(B427="","",MAX(0,D427-E427))</f>
      </c>
      <c r="G427" s="11"/>
      <c r="H427" s="3">
        <f>IF(B427="","",IF(C427="","כן","לא"))</f>
      </c>
      <c r="I427" s="3">
        <f>IF(B427="","",IF(D427=0,"כן","לא"))</f>
      </c>
      <c r="J427" s="3">
        <f>IF(B427="","",IF(F427&gt;0,"כן","לא"))</f>
      </c>
    </row>
    <row r="428" spans="1:10" x14ac:dyDescent="0.25">
      <c r="A428" s="11"/>
      <c r="B428" s="11"/>
      <c r="C428" s="11"/>
      <c r="D428" s="11"/>
      <c r="E428" s="11"/>
      <c r="F428" s="3">
        <f>IF(B428="","",MAX(0,D428-E428))</f>
      </c>
      <c r="G428" s="11"/>
      <c r="H428" s="3">
        <f>IF(B428="","",IF(C428="","כן","לא"))</f>
      </c>
      <c r="I428" s="3">
        <f>IF(B428="","",IF(D428=0,"כן","לא"))</f>
      </c>
      <c r="J428" s="3">
        <f>IF(B428="","",IF(F428&gt;0,"כן","לא"))</f>
      </c>
    </row>
    <row r="429" spans="1:10" x14ac:dyDescent="0.25">
      <c r="A429" s="11"/>
      <c r="B429" s="11"/>
      <c r="C429" s="11"/>
      <c r="D429" s="11"/>
      <c r="E429" s="11"/>
      <c r="F429" s="3">
        <f>IF(B429="","",MAX(0,D429-E429))</f>
      </c>
      <c r="G429" s="11"/>
      <c r="H429" s="3">
        <f>IF(B429="","",IF(C429="","כן","לא"))</f>
      </c>
      <c r="I429" s="3">
        <f>IF(B429="","",IF(D429=0,"כן","לא"))</f>
      </c>
      <c r="J429" s="3">
        <f>IF(B429="","",IF(F429&gt;0,"כן","לא"))</f>
      </c>
    </row>
    <row r="430" spans="1:10" x14ac:dyDescent="0.25">
      <c r="A430" s="11"/>
      <c r="B430" s="11"/>
      <c r="C430" s="11"/>
      <c r="D430" s="11"/>
      <c r="E430" s="11"/>
      <c r="F430" s="3">
        <f>IF(B430="","",MAX(0,D430-E430))</f>
      </c>
      <c r="G430" s="11"/>
      <c r="H430" s="3">
        <f>IF(B430="","",IF(C430="","כן","לא"))</f>
      </c>
      <c r="I430" s="3">
        <f>IF(B430="","",IF(D430=0,"כן","לא"))</f>
      </c>
      <c r="J430" s="3">
        <f>IF(B430="","",IF(F430&gt;0,"כן","לא"))</f>
      </c>
    </row>
    <row r="431" spans="1:10" x14ac:dyDescent="0.25">
      <c r="A431" s="11"/>
      <c r="B431" s="11"/>
      <c r="C431" s="11"/>
      <c r="D431" s="11"/>
      <c r="E431" s="11"/>
      <c r="F431" s="3">
        <f>IF(B431="","",MAX(0,D431-E431))</f>
      </c>
      <c r="G431" s="11"/>
      <c r="H431" s="3">
        <f>IF(B431="","",IF(C431="","כן","לא"))</f>
      </c>
      <c r="I431" s="3">
        <f>IF(B431="","",IF(D431=0,"כן","לא"))</f>
      </c>
      <c r="J431" s="3">
        <f>IF(B431="","",IF(F431&gt;0,"כן","לא"))</f>
      </c>
    </row>
    <row r="432" spans="1:10" x14ac:dyDescent="0.25">
      <c r="A432" s="11"/>
      <c r="B432" s="11"/>
      <c r="C432" s="11"/>
      <c r="D432" s="11"/>
      <c r="E432" s="11"/>
      <c r="F432" s="3">
        <f>IF(B432="","",MAX(0,D432-E432))</f>
      </c>
      <c r="G432" s="11"/>
      <c r="H432" s="3">
        <f>IF(B432="","",IF(C432="","כן","לא"))</f>
      </c>
      <c r="I432" s="3">
        <f>IF(B432="","",IF(D432=0,"כן","לא"))</f>
      </c>
      <c r="J432" s="3">
        <f>IF(B432="","",IF(F432&gt;0,"כן","לא"))</f>
      </c>
    </row>
    <row r="433" spans="1:10" x14ac:dyDescent="0.25">
      <c r="A433" s="11"/>
      <c r="B433" s="11"/>
      <c r="C433" s="11"/>
      <c r="D433" s="11"/>
      <c r="E433" s="11"/>
      <c r="F433" s="3">
        <f>IF(B433="","",MAX(0,D433-E433))</f>
      </c>
      <c r="G433" s="11"/>
      <c r="H433" s="3">
        <f>IF(B433="","",IF(C433="","כן","לא"))</f>
      </c>
      <c r="I433" s="3">
        <f>IF(B433="","",IF(D433=0,"כן","לא"))</f>
      </c>
      <c r="J433" s="3">
        <f>IF(B433="","",IF(F433&gt;0,"כן","לא"))</f>
      </c>
    </row>
    <row r="434" spans="1:10" x14ac:dyDescent="0.25">
      <c r="A434" s="11"/>
      <c r="B434" s="11"/>
      <c r="C434" s="11"/>
      <c r="D434" s="11"/>
      <c r="E434" s="11"/>
      <c r="F434" s="3">
        <f>IF(B434="","",MAX(0,D434-E434))</f>
      </c>
      <c r="G434" s="11"/>
      <c r="H434" s="3">
        <f>IF(B434="","",IF(C434="","כן","לא"))</f>
      </c>
      <c r="I434" s="3">
        <f>IF(B434="","",IF(D434=0,"כן","לא"))</f>
      </c>
      <c r="J434" s="3">
        <f>IF(B434="","",IF(F434&gt;0,"כן","לא"))</f>
      </c>
    </row>
    <row r="435" spans="1:10" x14ac:dyDescent="0.25">
      <c r="A435" s="11"/>
      <c r="B435" s="11"/>
      <c r="C435" s="11"/>
      <c r="D435" s="11"/>
      <c r="E435" s="11"/>
      <c r="F435" s="3">
        <f>IF(B435="","",MAX(0,D435-E435))</f>
      </c>
      <c r="G435" s="11"/>
      <c r="H435" s="3">
        <f>IF(B435="","",IF(C435="","כן","לא"))</f>
      </c>
      <c r="I435" s="3">
        <f>IF(B435="","",IF(D435=0,"כן","לא"))</f>
      </c>
      <c r="J435" s="3">
        <f>IF(B435="","",IF(F435&gt;0,"כן","לא"))</f>
      </c>
    </row>
    <row r="436" spans="1:10" x14ac:dyDescent="0.25">
      <c r="A436" s="11"/>
      <c r="B436" s="11"/>
      <c r="C436" s="11"/>
      <c r="D436" s="11"/>
      <c r="E436" s="11"/>
      <c r="F436" s="3">
        <f>IF(B436="","",MAX(0,D436-E436))</f>
      </c>
      <c r="G436" s="11"/>
      <c r="H436" s="3">
        <f>IF(B436="","",IF(C436="","כן","לא"))</f>
      </c>
      <c r="I436" s="3">
        <f>IF(B436="","",IF(D436=0,"כן","לא"))</f>
      </c>
      <c r="J436" s="3">
        <f>IF(B436="","",IF(F436&gt;0,"כן","לא"))</f>
      </c>
    </row>
    <row r="437" spans="1:10" x14ac:dyDescent="0.25">
      <c r="A437" s="11"/>
      <c r="B437" s="11"/>
      <c r="C437" s="11"/>
      <c r="D437" s="11"/>
      <c r="E437" s="11"/>
      <c r="F437" s="3">
        <f>IF(B437="","",MAX(0,D437-E437))</f>
      </c>
      <c r="G437" s="11"/>
      <c r="H437" s="3">
        <f>IF(B437="","",IF(C437="","כן","לא"))</f>
      </c>
      <c r="I437" s="3">
        <f>IF(B437="","",IF(D437=0,"כן","לא"))</f>
      </c>
      <c r="J437" s="3">
        <f>IF(B437="","",IF(F437&gt;0,"כן","לא"))</f>
      </c>
    </row>
    <row r="438" spans="1:10" x14ac:dyDescent="0.25">
      <c r="A438" s="11"/>
      <c r="B438" s="11"/>
      <c r="C438" s="11"/>
      <c r="D438" s="11"/>
      <c r="E438" s="11"/>
      <c r="F438" s="3">
        <f>IF(B438="","",MAX(0,D438-E438))</f>
      </c>
      <c r="G438" s="11"/>
      <c r="H438" s="3">
        <f>IF(B438="","",IF(C438="","כן","לא"))</f>
      </c>
      <c r="I438" s="3">
        <f>IF(B438="","",IF(D438=0,"כן","לא"))</f>
      </c>
      <c r="J438" s="3">
        <f>IF(B438="","",IF(F438&gt;0,"כן","לא"))</f>
      </c>
    </row>
    <row r="439" spans="1:10" x14ac:dyDescent="0.25">
      <c r="A439" s="11"/>
      <c r="B439" s="11"/>
      <c r="C439" s="11"/>
      <c r="D439" s="11"/>
      <c r="E439" s="11"/>
      <c r="F439" s="3">
        <f>IF(B439="","",MAX(0,D439-E439))</f>
      </c>
      <c r="G439" s="11"/>
      <c r="H439" s="3">
        <f>IF(B439="","",IF(C439="","כן","לא"))</f>
      </c>
      <c r="I439" s="3">
        <f>IF(B439="","",IF(D439=0,"כן","לא"))</f>
      </c>
      <c r="J439" s="3">
        <f>IF(B439="","",IF(F439&gt;0,"כן","לא"))</f>
      </c>
    </row>
    <row r="440" spans="1:10" x14ac:dyDescent="0.25">
      <c r="A440" s="11"/>
      <c r="B440" s="11"/>
      <c r="C440" s="11"/>
      <c r="D440" s="11"/>
      <c r="E440" s="11"/>
      <c r="F440" s="3">
        <f>IF(B440="","",MAX(0,D440-E440))</f>
      </c>
      <c r="G440" s="11"/>
      <c r="H440" s="3">
        <f>IF(B440="","",IF(C440="","כן","לא"))</f>
      </c>
      <c r="I440" s="3">
        <f>IF(B440="","",IF(D440=0,"כן","לא"))</f>
      </c>
      <c r="J440" s="3">
        <f>IF(B440="","",IF(F440&gt;0,"כן","לא"))</f>
      </c>
    </row>
    <row r="441" spans="1:10" x14ac:dyDescent="0.25">
      <c r="A441" s="11"/>
      <c r="B441" s="11"/>
      <c r="C441" s="11"/>
      <c r="D441" s="11"/>
      <c r="E441" s="11"/>
      <c r="F441" s="3">
        <f>IF(B441="","",MAX(0,D441-E441))</f>
      </c>
      <c r="G441" s="11"/>
      <c r="H441" s="3">
        <f>IF(B441="","",IF(C441="","כן","לא"))</f>
      </c>
      <c r="I441" s="3">
        <f>IF(B441="","",IF(D441=0,"כן","לא"))</f>
      </c>
      <c r="J441" s="3">
        <f>IF(B441="","",IF(F441&gt;0,"כן","לא"))</f>
      </c>
    </row>
    <row r="442" spans="1:10" x14ac:dyDescent="0.25">
      <c r="A442" s="11"/>
      <c r="B442" s="11"/>
      <c r="C442" s="11"/>
      <c r="D442" s="11"/>
      <c r="E442" s="11"/>
      <c r="F442" s="3">
        <f>IF(B442="","",MAX(0,D442-E442))</f>
      </c>
      <c r="G442" s="11"/>
      <c r="H442" s="3">
        <f>IF(B442="","",IF(C442="","כן","לא"))</f>
      </c>
      <c r="I442" s="3">
        <f>IF(B442="","",IF(D442=0,"כן","לא"))</f>
      </c>
      <c r="J442" s="3">
        <f>IF(B442="","",IF(F442&gt;0,"כן","לא"))</f>
      </c>
    </row>
    <row r="443" spans="1:10" x14ac:dyDescent="0.25">
      <c r="A443" s="11"/>
      <c r="B443" s="11"/>
      <c r="C443" s="11"/>
      <c r="D443" s="11"/>
      <c r="E443" s="11"/>
      <c r="F443" s="3">
        <f>IF(B443="","",MAX(0,D443-E443))</f>
      </c>
      <c r="G443" s="11"/>
      <c r="H443" s="3">
        <f>IF(B443="","",IF(C443="","כן","לא"))</f>
      </c>
      <c r="I443" s="3">
        <f>IF(B443="","",IF(D443=0,"כן","לא"))</f>
      </c>
      <c r="J443" s="3">
        <f>IF(B443="","",IF(F443&gt;0,"כן","לא"))</f>
      </c>
    </row>
    <row r="444" spans="1:10" x14ac:dyDescent="0.25">
      <c r="A444" s="11"/>
      <c r="B444" s="11"/>
      <c r="C444" s="11"/>
      <c r="D444" s="11"/>
      <c r="E444" s="11"/>
      <c r="F444" s="3">
        <f>IF(B444="","",MAX(0,D444-E444))</f>
      </c>
      <c r="G444" s="11"/>
      <c r="H444" s="3">
        <f>IF(B444="","",IF(C444="","כן","לא"))</f>
      </c>
      <c r="I444" s="3">
        <f>IF(B444="","",IF(D444=0,"כן","לא"))</f>
      </c>
      <c r="J444" s="3">
        <f>IF(B444="","",IF(F444&gt;0,"כן","לא"))</f>
      </c>
    </row>
    <row r="445" spans="1:10" x14ac:dyDescent="0.25">
      <c r="A445" s="11"/>
      <c r="B445" s="11"/>
      <c r="C445" s="11"/>
      <c r="D445" s="11"/>
      <c r="E445" s="11"/>
      <c r="F445" s="3">
        <f>IF(B445="","",MAX(0,D445-E445))</f>
      </c>
      <c r="G445" s="11"/>
      <c r="H445" s="3">
        <f>IF(B445="","",IF(C445="","כן","לא"))</f>
      </c>
      <c r="I445" s="3">
        <f>IF(B445="","",IF(D445=0,"כן","לא"))</f>
      </c>
      <c r="J445" s="3">
        <f>IF(B445="","",IF(F445&gt;0,"כן","לא"))</f>
      </c>
    </row>
    <row r="446" spans="1:10" x14ac:dyDescent="0.25">
      <c r="A446" s="11"/>
      <c r="B446" s="11"/>
      <c r="C446" s="11"/>
      <c r="D446" s="11"/>
      <c r="E446" s="11"/>
      <c r="F446" s="3">
        <f>IF(B446="","",MAX(0,D446-E446))</f>
      </c>
      <c r="G446" s="11"/>
      <c r="H446" s="3">
        <f>IF(B446="","",IF(C446="","כן","לא"))</f>
      </c>
      <c r="I446" s="3">
        <f>IF(B446="","",IF(D446=0,"כן","לא"))</f>
      </c>
      <c r="J446" s="3">
        <f>IF(B446="","",IF(F446&gt;0,"כן","לא"))</f>
      </c>
    </row>
    <row r="447" spans="1:10" x14ac:dyDescent="0.25">
      <c r="A447" s="11"/>
      <c r="B447" s="11"/>
      <c r="C447" s="11"/>
      <c r="D447" s="11"/>
      <c r="E447" s="11"/>
      <c r="F447" s="3">
        <f>IF(B447="","",MAX(0,D447-E447))</f>
      </c>
      <c r="G447" s="11"/>
      <c r="H447" s="3">
        <f>IF(B447="","",IF(C447="","כן","לא"))</f>
      </c>
      <c r="I447" s="3">
        <f>IF(B447="","",IF(D447=0,"כן","לא"))</f>
      </c>
      <c r="J447" s="3">
        <f>IF(B447="","",IF(F447&gt;0,"כן","לא"))</f>
      </c>
    </row>
    <row r="448" spans="1:10" x14ac:dyDescent="0.25">
      <c r="A448" s="11"/>
      <c r="B448" s="11"/>
      <c r="C448" s="11"/>
      <c r="D448" s="11"/>
      <c r="E448" s="11"/>
      <c r="F448" s="3">
        <f>IF(B448="","",MAX(0,D448-E448))</f>
      </c>
      <c r="G448" s="11"/>
      <c r="H448" s="3">
        <f>IF(B448="","",IF(C448="","כן","לא"))</f>
      </c>
      <c r="I448" s="3">
        <f>IF(B448="","",IF(D448=0,"כן","לא"))</f>
      </c>
      <c r="J448" s="3">
        <f>IF(B448="","",IF(F448&gt;0,"כן","לא"))</f>
      </c>
    </row>
    <row r="449" spans="1:10" x14ac:dyDescent="0.25">
      <c r="A449" s="11"/>
      <c r="B449" s="11"/>
      <c r="C449" s="11"/>
      <c r="D449" s="11"/>
      <c r="E449" s="11"/>
      <c r="F449" s="3">
        <f>IF(B449="","",MAX(0,D449-E449))</f>
      </c>
      <c r="G449" s="11"/>
      <c r="H449" s="3">
        <f>IF(B449="","",IF(C449="","כן","לא"))</f>
      </c>
      <c r="I449" s="3">
        <f>IF(B449="","",IF(D449=0,"כן","לא"))</f>
      </c>
      <c r="J449" s="3">
        <f>IF(B449="","",IF(F449&gt;0,"כן","לא"))</f>
      </c>
    </row>
    <row r="450" spans="1:10" x14ac:dyDescent="0.25">
      <c r="A450" s="11"/>
      <c r="B450" s="11"/>
      <c r="C450" s="11"/>
      <c r="D450" s="11"/>
      <c r="E450" s="11"/>
      <c r="F450" s="3">
        <f>IF(B450="","",MAX(0,D450-E450))</f>
      </c>
      <c r="G450" s="11"/>
      <c r="H450" s="3">
        <f>IF(B450="","",IF(C450="","כן","לא"))</f>
      </c>
      <c r="I450" s="3">
        <f>IF(B450="","",IF(D450=0,"כן","לא"))</f>
      </c>
      <c r="J450" s="3">
        <f>IF(B450="","",IF(F450&gt;0,"כן","לא"))</f>
      </c>
    </row>
    <row r="451" spans="1:10" x14ac:dyDescent="0.25">
      <c r="A451" s="11"/>
      <c r="B451" s="11"/>
      <c r="C451" s="11"/>
      <c r="D451" s="11"/>
      <c r="E451" s="11"/>
      <c r="F451" s="3">
        <f>IF(B451="","",MAX(0,D451-E451))</f>
      </c>
      <c r="G451" s="11"/>
      <c r="H451" s="3">
        <f>IF(B451="","",IF(C451="","כן","לא"))</f>
      </c>
      <c r="I451" s="3">
        <f>IF(B451="","",IF(D451=0,"כן","לא"))</f>
      </c>
      <c r="J451" s="3">
        <f>IF(B451="","",IF(F451&gt;0,"כן","לא"))</f>
      </c>
    </row>
    <row r="452" spans="1:10" x14ac:dyDescent="0.25">
      <c r="A452" s="11"/>
      <c r="B452" s="11"/>
      <c r="C452" s="11"/>
      <c r="D452" s="11"/>
      <c r="E452" s="11"/>
      <c r="F452" s="3">
        <f>IF(B452="","",MAX(0,D452-E452))</f>
      </c>
      <c r="G452" s="11"/>
      <c r="H452" s="3">
        <f>IF(B452="","",IF(C452="","כן","לא"))</f>
      </c>
      <c r="I452" s="3">
        <f>IF(B452="","",IF(D452=0,"כן","לא"))</f>
      </c>
      <c r="J452" s="3">
        <f>IF(B452="","",IF(F452&gt;0,"כן","לא"))</f>
      </c>
    </row>
    <row r="453" spans="1:10" x14ac:dyDescent="0.25">
      <c r="A453" s="11"/>
      <c r="B453" s="11"/>
      <c r="C453" s="11"/>
      <c r="D453" s="11"/>
      <c r="E453" s="11"/>
      <c r="F453" s="3">
        <f>IF(B453="","",MAX(0,D453-E453))</f>
      </c>
      <c r="G453" s="11"/>
      <c r="H453" s="3">
        <f>IF(B453="","",IF(C453="","כן","לא"))</f>
      </c>
      <c r="I453" s="3">
        <f>IF(B453="","",IF(D453=0,"כן","לא"))</f>
      </c>
      <c r="J453" s="3">
        <f>IF(B453="","",IF(F453&gt;0,"כן","לא"))</f>
      </c>
    </row>
    <row r="454" spans="1:10" x14ac:dyDescent="0.25">
      <c r="A454" s="11"/>
      <c r="B454" s="11"/>
      <c r="C454" s="11"/>
      <c r="D454" s="11"/>
      <c r="E454" s="11"/>
      <c r="F454" s="3">
        <f>IF(B454="","",MAX(0,D454-E454))</f>
      </c>
      <c r="G454" s="11"/>
      <c r="H454" s="3">
        <f>IF(B454="","",IF(C454="","כן","לא"))</f>
      </c>
      <c r="I454" s="3">
        <f>IF(B454="","",IF(D454=0,"כן","לא"))</f>
      </c>
      <c r="J454" s="3">
        <f>IF(B454="","",IF(F454&gt;0,"כן","לא"))</f>
      </c>
    </row>
    <row r="455" spans="1:10" x14ac:dyDescent="0.25">
      <c r="A455" s="11"/>
      <c r="B455" s="11"/>
      <c r="C455" s="11"/>
      <c r="D455" s="11"/>
      <c r="E455" s="11"/>
      <c r="F455" s="3">
        <f>IF(B455="","",MAX(0,D455-E455))</f>
      </c>
      <c r="G455" s="11"/>
      <c r="H455" s="3">
        <f>IF(B455="","",IF(C455="","כן","לא"))</f>
      </c>
      <c r="I455" s="3">
        <f>IF(B455="","",IF(D455=0,"כן","לא"))</f>
      </c>
      <c r="J455" s="3">
        <f>IF(B455="","",IF(F455&gt;0,"כן","לא"))</f>
      </c>
    </row>
    <row r="456" spans="1:10" x14ac:dyDescent="0.25">
      <c r="A456" s="11"/>
      <c r="B456" s="11"/>
      <c r="C456" s="11"/>
      <c r="D456" s="11"/>
      <c r="E456" s="11"/>
      <c r="F456" s="3">
        <f>IF(B456="","",MAX(0,D456-E456))</f>
      </c>
      <c r="G456" s="11"/>
      <c r="H456" s="3">
        <f>IF(B456="","",IF(C456="","כן","לא"))</f>
      </c>
      <c r="I456" s="3">
        <f>IF(B456="","",IF(D456=0,"כן","לא"))</f>
      </c>
      <c r="J456" s="3">
        <f>IF(B456="","",IF(F456&gt;0,"כן","לא"))</f>
      </c>
    </row>
    <row r="457" spans="1:10" x14ac:dyDescent="0.25">
      <c r="A457" s="11"/>
      <c r="B457" s="11"/>
      <c r="C457" s="11"/>
      <c r="D457" s="11"/>
      <c r="E457" s="11"/>
      <c r="F457" s="3">
        <f>IF(B457="","",MAX(0,D457-E457))</f>
      </c>
      <c r="G457" s="11"/>
      <c r="H457" s="3">
        <f>IF(B457="","",IF(C457="","כן","לא"))</f>
      </c>
      <c r="I457" s="3">
        <f>IF(B457="","",IF(D457=0,"כן","לא"))</f>
      </c>
      <c r="J457" s="3">
        <f>IF(B457="","",IF(F457&gt;0,"כן","לא"))</f>
      </c>
    </row>
    <row r="458" spans="1:10" x14ac:dyDescent="0.25">
      <c r="A458" s="11"/>
      <c r="B458" s="11"/>
      <c r="C458" s="11"/>
      <c r="D458" s="11"/>
      <c r="E458" s="11"/>
      <c r="F458" s="3">
        <f>IF(B458="","",MAX(0,D458-E458))</f>
      </c>
      <c r="G458" s="11"/>
      <c r="H458" s="3">
        <f>IF(B458="","",IF(C458="","כן","לא"))</f>
      </c>
      <c r="I458" s="3">
        <f>IF(B458="","",IF(D458=0,"כן","לא"))</f>
      </c>
      <c r="J458" s="3">
        <f>IF(B458="","",IF(F458&gt;0,"כן","לא"))</f>
      </c>
    </row>
    <row r="459" spans="1:10" x14ac:dyDescent="0.25">
      <c r="A459" s="11"/>
      <c r="B459" s="11"/>
      <c r="C459" s="11"/>
      <c r="D459" s="11"/>
      <c r="E459" s="11"/>
      <c r="F459" s="3">
        <f>IF(B459="","",MAX(0,D459-E459))</f>
      </c>
      <c r="G459" s="11"/>
      <c r="H459" s="3">
        <f>IF(B459="","",IF(C459="","כן","לא"))</f>
      </c>
      <c r="I459" s="3">
        <f>IF(B459="","",IF(D459=0,"כן","לא"))</f>
      </c>
      <c r="J459" s="3">
        <f>IF(B459="","",IF(F459&gt;0,"כן","לא"))</f>
      </c>
    </row>
    <row r="460" spans="1:10" x14ac:dyDescent="0.25">
      <c r="A460" s="11"/>
      <c r="B460" s="11"/>
      <c r="C460" s="11"/>
      <c r="D460" s="11"/>
      <c r="E460" s="11"/>
      <c r="F460" s="3">
        <f>IF(B460="","",MAX(0,D460-E460))</f>
      </c>
      <c r="G460" s="11"/>
      <c r="H460" s="3">
        <f>IF(B460="","",IF(C460="","כן","לא"))</f>
      </c>
      <c r="I460" s="3">
        <f>IF(B460="","",IF(D460=0,"כן","לא"))</f>
      </c>
      <c r="J460" s="3">
        <f>IF(B460="","",IF(F460&gt;0,"כן","לא"))</f>
      </c>
    </row>
    <row r="461" spans="1:10" x14ac:dyDescent="0.25">
      <c r="A461" s="11"/>
      <c r="B461" s="11"/>
      <c r="C461" s="11"/>
      <c r="D461" s="11"/>
      <c r="E461" s="11"/>
      <c r="F461" s="3">
        <f>IF(B461="","",MAX(0,D461-E461))</f>
      </c>
      <c r="G461" s="11"/>
      <c r="H461" s="3">
        <f>IF(B461="","",IF(C461="","כן","לא"))</f>
      </c>
      <c r="I461" s="3">
        <f>IF(B461="","",IF(D461=0,"כן","לא"))</f>
      </c>
      <c r="J461" s="3">
        <f>IF(B461="","",IF(F461&gt;0,"כן","לא"))</f>
      </c>
    </row>
    <row r="462" spans="1:10" x14ac:dyDescent="0.25">
      <c r="A462" s="11"/>
      <c r="B462" s="11"/>
      <c r="C462" s="11"/>
      <c r="D462" s="11"/>
      <c r="E462" s="11"/>
      <c r="F462" s="3">
        <f>IF(B462="","",MAX(0,D462-E462))</f>
      </c>
      <c r="G462" s="11"/>
      <c r="H462" s="3">
        <f>IF(B462="","",IF(C462="","כן","לא"))</f>
      </c>
      <c r="I462" s="3">
        <f>IF(B462="","",IF(D462=0,"כן","לא"))</f>
      </c>
      <c r="J462" s="3">
        <f>IF(B462="","",IF(F462&gt;0,"כן","לא"))</f>
      </c>
    </row>
    <row r="463" spans="1:10" x14ac:dyDescent="0.25">
      <c r="A463" s="11"/>
      <c r="B463" s="11"/>
      <c r="C463" s="11"/>
      <c r="D463" s="11"/>
      <c r="E463" s="11"/>
      <c r="F463" s="3">
        <f>IF(B463="","",MAX(0,D463-E463))</f>
      </c>
      <c r="G463" s="11"/>
      <c r="H463" s="3">
        <f>IF(B463="","",IF(C463="","כן","לא"))</f>
      </c>
      <c r="I463" s="3">
        <f>IF(B463="","",IF(D463=0,"כן","לא"))</f>
      </c>
      <c r="J463" s="3">
        <f>IF(B463="","",IF(F463&gt;0,"כן","לא"))</f>
      </c>
    </row>
    <row r="464" spans="1:10" x14ac:dyDescent="0.25">
      <c r="A464" s="11"/>
      <c r="B464" s="11"/>
      <c r="C464" s="11"/>
      <c r="D464" s="11"/>
      <c r="E464" s="11"/>
      <c r="F464" s="3">
        <f>IF(B464="","",MAX(0,D464-E464))</f>
      </c>
      <c r="G464" s="11"/>
      <c r="H464" s="3">
        <f>IF(B464="","",IF(C464="","כן","לא"))</f>
      </c>
      <c r="I464" s="3">
        <f>IF(B464="","",IF(D464=0,"כן","לא"))</f>
      </c>
      <c r="J464" s="3">
        <f>IF(B464="","",IF(F464&gt;0,"כן","לא"))</f>
      </c>
    </row>
    <row r="465" spans="1:10" x14ac:dyDescent="0.25">
      <c r="A465" s="11"/>
      <c r="B465" s="11"/>
      <c r="C465" s="11"/>
      <c r="D465" s="11"/>
      <c r="E465" s="11"/>
      <c r="F465" s="3">
        <f>IF(B465="","",MAX(0,D465-E465))</f>
      </c>
      <c r="G465" s="11"/>
      <c r="H465" s="3">
        <f>IF(B465="","",IF(C465="","כן","לא"))</f>
      </c>
      <c r="I465" s="3">
        <f>IF(B465="","",IF(D465=0,"כן","לא"))</f>
      </c>
      <c r="J465" s="3">
        <f>IF(B465="","",IF(F465&gt;0,"כן","לא"))</f>
      </c>
    </row>
    <row r="466" spans="1:10" x14ac:dyDescent="0.25">
      <c r="A466" s="11"/>
      <c r="B466" s="11"/>
      <c r="C466" s="11"/>
      <c r="D466" s="11"/>
      <c r="E466" s="11"/>
      <c r="F466" s="3">
        <f>IF(B466="","",MAX(0,D466-E466))</f>
      </c>
      <c r="G466" s="11"/>
      <c r="H466" s="3">
        <f>IF(B466="","",IF(C466="","כן","לא"))</f>
      </c>
      <c r="I466" s="3">
        <f>IF(B466="","",IF(D466=0,"כן","לא"))</f>
      </c>
      <c r="J466" s="3">
        <f>IF(B466="","",IF(F466&gt;0,"כן","לא"))</f>
      </c>
    </row>
    <row r="467" spans="1:10" x14ac:dyDescent="0.25">
      <c r="A467" s="11"/>
      <c r="B467" s="11"/>
      <c r="C467" s="11"/>
      <c r="D467" s="11"/>
      <c r="E467" s="11"/>
      <c r="F467" s="3">
        <f>IF(B467="","",MAX(0,D467-E467))</f>
      </c>
      <c r="G467" s="11"/>
      <c r="H467" s="3">
        <f>IF(B467="","",IF(C467="","כן","לא"))</f>
      </c>
      <c r="I467" s="3">
        <f>IF(B467="","",IF(D467=0,"כן","לא"))</f>
      </c>
      <c r="J467" s="3">
        <f>IF(B467="","",IF(F467&gt;0,"כן","לא"))</f>
      </c>
    </row>
    <row r="468" spans="1:10" x14ac:dyDescent="0.25">
      <c r="A468" s="11"/>
      <c r="B468" s="11"/>
      <c r="C468" s="11"/>
      <c r="D468" s="11"/>
      <c r="E468" s="11"/>
      <c r="F468" s="3">
        <f>IF(B468="","",MAX(0,D468-E468))</f>
      </c>
      <c r="G468" s="11"/>
      <c r="H468" s="3">
        <f>IF(B468="","",IF(C468="","כן","לא"))</f>
      </c>
      <c r="I468" s="3">
        <f>IF(B468="","",IF(D468=0,"כן","לא"))</f>
      </c>
      <c r="J468" s="3">
        <f>IF(B468="","",IF(F468&gt;0,"כן","לא"))</f>
      </c>
    </row>
    <row r="469" spans="1:10" x14ac:dyDescent="0.25">
      <c r="A469" s="11"/>
      <c r="B469" s="11"/>
      <c r="C469" s="11"/>
      <c r="D469" s="11"/>
      <c r="E469" s="11"/>
      <c r="F469" s="3">
        <f>IF(B469="","",MAX(0,D469-E469))</f>
      </c>
      <c r="G469" s="11"/>
      <c r="H469" s="3">
        <f>IF(B469="","",IF(C469="","כן","לא"))</f>
      </c>
      <c r="I469" s="3">
        <f>IF(B469="","",IF(D469=0,"כן","לא"))</f>
      </c>
      <c r="J469" s="3">
        <f>IF(B469="","",IF(F469&gt;0,"כן","לא"))</f>
      </c>
    </row>
    <row r="470" spans="1:10" x14ac:dyDescent="0.25">
      <c r="A470" s="11"/>
      <c r="B470" s="11"/>
      <c r="C470" s="11"/>
      <c r="D470" s="11"/>
      <c r="E470" s="11"/>
      <c r="F470" s="3">
        <f>IF(B470="","",MAX(0,D470-E470))</f>
      </c>
      <c r="G470" s="11"/>
      <c r="H470" s="3">
        <f>IF(B470="","",IF(C470="","כן","לא"))</f>
      </c>
      <c r="I470" s="3">
        <f>IF(B470="","",IF(D470=0,"כן","לא"))</f>
      </c>
      <c r="J470" s="3">
        <f>IF(B470="","",IF(F470&gt;0,"כן","לא"))</f>
      </c>
    </row>
    <row r="471" spans="1:10" x14ac:dyDescent="0.25">
      <c r="A471" s="11"/>
      <c r="B471" s="11"/>
      <c r="C471" s="11"/>
      <c r="D471" s="11"/>
      <c r="E471" s="11"/>
      <c r="F471" s="3">
        <f>IF(B471="","",MAX(0,D471-E471))</f>
      </c>
      <c r="G471" s="11"/>
      <c r="H471" s="3">
        <f>IF(B471="","",IF(C471="","כן","לא"))</f>
      </c>
      <c r="I471" s="3">
        <f>IF(B471="","",IF(D471=0,"כן","לא"))</f>
      </c>
      <c r="J471" s="3">
        <f>IF(B471="","",IF(F471&gt;0,"כן","לא"))</f>
      </c>
    </row>
    <row r="472" spans="1:10" x14ac:dyDescent="0.25">
      <c r="A472" s="11"/>
      <c r="B472" s="11"/>
      <c r="C472" s="11"/>
      <c r="D472" s="11"/>
      <c r="E472" s="11"/>
      <c r="F472" s="3">
        <f>IF(B472="","",MAX(0,D472-E472))</f>
      </c>
      <c r="G472" s="11"/>
      <c r="H472" s="3">
        <f>IF(B472="","",IF(C472="","כן","לא"))</f>
      </c>
      <c r="I472" s="3">
        <f>IF(B472="","",IF(D472=0,"כן","לא"))</f>
      </c>
      <c r="J472" s="3">
        <f>IF(B472="","",IF(F472&gt;0,"כן","לא"))</f>
      </c>
    </row>
    <row r="473" spans="1:10" x14ac:dyDescent="0.25">
      <c r="A473" s="11"/>
      <c r="B473" s="11"/>
      <c r="C473" s="11"/>
      <c r="D473" s="11"/>
      <c r="E473" s="11"/>
      <c r="F473" s="3">
        <f>IF(B473="","",MAX(0,D473-E473))</f>
      </c>
      <c r="G473" s="11"/>
      <c r="H473" s="3">
        <f>IF(B473="","",IF(C473="","כן","לא"))</f>
      </c>
      <c r="I473" s="3">
        <f>IF(B473="","",IF(D473=0,"כן","לא"))</f>
      </c>
      <c r="J473" s="3">
        <f>IF(B473="","",IF(F473&gt;0,"כן","לא"))</f>
      </c>
    </row>
    <row r="474" spans="1:10" x14ac:dyDescent="0.25">
      <c r="A474" s="11"/>
      <c r="B474" s="11"/>
      <c r="C474" s="11"/>
      <c r="D474" s="11"/>
      <c r="E474" s="11"/>
      <c r="F474" s="3">
        <f>IF(B474="","",MAX(0,D474-E474))</f>
      </c>
      <c r="G474" s="11"/>
      <c r="H474" s="3">
        <f>IF(B474="","",IF(C474="","כן","לא"))</f>
      </c>
      <c r="I474" s="3">
        <f>IF(B474="","",IF(D474=0,"כן","לא"))</f>
      </c>
      <c r="J474" s="3">
        <f>IF(B474="","",IF(F474&gt;0,"כן","לא"))</f>
      </c>
    </row>
    <row r="475" spans="1:10" x14ac:dyDescent="0.25">
      <c r="A475" s="11"/>
      <c r="B475" s="11"/>
      <c r="C475" s="11"/>
      <c r="D475" s="11"/>
      <c r="E475" s="11"/>
      <c r="F475" s="3">
        <f>IF(B475="","",MAX(0,D475-E475))</f>
      </c>
      <c r="G475" s="11"/>
      <c r="H475" s="3">
        <f>IF(B475="","",IF(C475="","כן","לא"))</f>
      </c>
      <c r="I475" s="3">
        <f>IF(B475="","",IF(D475=0,"כן","לא"))</f>
      </c>
      <c r="J475" s="3">
        <f>IF(B475="","",IF(F475&gt;0,"כן","לא"))</f>
      </c>
    </row>
    <row r="476" spans="1:10" x14ac:dyDescent="0.25">
      <c r="A476" s="11"/>
      <c r="B476" s="11"/>
      <c r="C476" s="11"/>
      <c r="D476" s="11"/>
      <c r="E476" s="11"/>
      <c r="F476" s="3">
        <f>IF(B476="","",MAX(0,D476-E476))</f>
      </c>
      <c r="G476" s="11"/>
      <c r="H476" s="3">
        <f>IF(B476="","",IF(C476="","כן","לא"))</f>
      </c>
      <c r="I476" s="3">
        <f>IF(B476="","",IF(D476=0,"כן","לא"))</f>
      </c>
      <c r="J476" s="3">
        <f>IF(B476="","",IF(F476&gt;0,"כן","לא"))</f>
      </c>
    </row>
    <row r="477" spans="1:10" x14ac:dyDescent="0.25">
      <c r="A477" s="11"/>
      <c r="B477" s="11"/>
      <c r="C477" s="11"/>
      <c r="D477" s="11"/>
      <c r="E477" s="11"/>
      <c r="F477" s="3">
        <f>IF(B477="","",MAX(0,D477-E477))</f>
      </c>
      <c r="G477" s="11"/>
      <c r="H477" s="3">
        <f>IF(B477="","",IF(C477="","כן","לא"))</f>
      </c>
      <c r="I477" s="3">
        <f>IF(B477="","",IF(D477=0,"כן","לא"))</f>
      </c>
      <c r="J477" s="3">
        <f>IF(B477="","",IF(F477&gt;0,"כן","לא"))</f>
      </c>
    </row>
    <row r="478" spans="1:10" x14ac:dyDescent="0.25">
      <c r="A478" s="11"/>
      <c r="B478" s="11"/>
      <c r="C478" s="11"/>
      <c r="D478" s="11"/>
      <c r="E478" s="11"/>
      <c r="F478" s="3">
        <f>IF(B478="","",MAX(0,D478-E478))</f>
      </c>
      <c r="G478" s="11"/>
      <c r="H478" s="3">
        <f>IF(B478="","",IF(C478="","כן","לא"))</f>
      </c>
      <c r="I478" s="3">
        <f>IF(B478="","",IF(D478=0,"כן","לא"))</f>
      </c>
      <c r="J478" s="3">
        <f>IF(B478="","",IF(F478&gt;0,"כן","לא"))</f>
      </c>
    </row>
    <row r="479" spans="1:10" x14ac:dyDescent="0.25">
      <c r="A479" s="11"/>
      <c r="B479" s="11"/>
      <c r="C479" s="11"/>
      <c r="D479" s="11"/>
      <c r="E479" s="11"/>
      <c r="F479" s="3">
        <f>IF(B479="","",MAX(0,D479-E479))</f>
      </c>
      <c r="G479" s="11"/>
      <c r="H479" s="3">
        <f>IF(B479="","",IF(C479="","כן","לא"))</f>
      </c>
      <c r="I479" s="3">
        <f>IF(B479="","",IF(D479=0,"כן","לא"))</f>
      </c>
      <c r="J479" s="3">
        <f>IF(B479="","",IF(F479&gt;0,"כן","לא"))</f>
      </c>
    </row>
    <row r="480" spans="1:10" x14ac:dyDescent="0.25">
      <c r="A480" s="11"/>
      <c r="B480" s="11"/>
      <c r="C480" s="11"/>
      <c r="D480" s="11"/>
      <c r="E480" s="11"/>
      <c r="F480" s="3">
        <f>IF(B480="","",MAX(0,D480-E480))</f>
      </c>
      <c r="G480" s="11"/>
      <c r="H480" s="3">
        <f>IF(B480="","",IF(C480="","כן","לא"))</f>
      </c>
      <c r="I480" s="3">
        <f>IF(B480="","",IF(D480=0,"כן","לא"))</f>
      </c>
      <c r="J480" s="3">
        <f>IF(B480="","",IF(F480&gt;0,"כן","לא"))</f>
      </c>
    </row>
    <row r="481" spans="1:10" x14ac:dyDescent="0.25">
      <c r="A481" s="11"/>
      <c r="B481" s="11"/>
      <c r="C481" s="11"/>
      <c r="D481" s="11"/>
      <c r="E481" s="11"/>
      <c r="F481" s="3">
        <f>IF(B481="","",MAX(0,D481-E481))</f>
      </c>
      <c r="G481" s="11"/>
      <c r="H481" s="3">
        <f>IF(B481="","",IF(C481="","כן","לא"))</f>
      </c>
      <c r="I481" s="3">
        <f>IF(B481="","",IF(D481=0,"כן","לא"))</f>
      </c>
      <c r="J481" s="3">
        <f>IF(B481="","",IF(F481&gt;0,"כן","לא"))</f>
      </c>
    </row>
    <row r="482" spans="1:10" x14ac:dyDescent="0.25">
      <c r="A482" s="11"/>
      <c r="B482" s="11"/>
      <c r="C482" s="11"/>
      <c r="D482" s="11"/>
      <c r="E482" s="11"/>
      <c r="F482" s="3">
        <f>IF(B482="","",MAX(0,D482-E482))</f>
      </c>
      <c r="G482" s="11"/>
      <c r="H482" s="3">
        <f>IF(B482="","",IF(C482="","כן","לא"))</f>
      </c>
      <c r="I482" s="3">
        <f>IF(B482="","",IF(D482=0,"כן","לא"))</f>
      </c>
      <c r="J482" s="3">
        <f>IF(B482="","",IF(F482&gt;0,"כן","לא"))</f>
      </c>
    </row>
    <row r="483" spans="1:10" x14ac:dyDescent="0.25">
      <c r="A483" s="11"/>
      <c r="B483" s="11"/>
      <c r="C483" s="11"/>
      <c r="D483" s="11"/>
      <c r="E483" s="11"/>
      <c r="F483" s="3">
        <f>IF(B483="","",MAX(0,D483-E483))</f>
      </c>
      <c r="G483" s="11"/>
      <c r="H483" s="3">
        <f>IF(B483="","",IF(C483="","כן","לא"))</f>
      </c>
      <c r="I483" s="3">
        <f>IF(B483="","",IF(D483=0,"כן","לא"))</f>
      </c>
      <c r="J483" s="3">
        <f>IF(B483="","",IF(F483&gt;0,"כן","לא"))</f>
      </c>
    </row>
    <row r="484" spans="1:10" x14ac:dyDescent="0.25">
      <c r="A484" s="11"/>
      <c r="B484" s="11"/>
      <c r="C484" s="11"/>
      <c r="D484" s="11"/>
      <c r="E484" s="11"/>
      <c r="F484" s="3">
        <f>IF(B484="","",MAX(0,D484-E484))</f>
      </c>
      <c r="G484" s="11"/>
      <c r="H484" s="3">
        <f>IF(B484="","",IF(C484="","כן","לא"))</f>
      </c>
      <c r="I484" s="3">
        <f>IF(B484="","",IF(D484=0,"כן","לא"))</f>
      </c>
      <c r="J484" s="3">
        <f>IF(B484="","",IF(F484&gt;0,"כן","לא"))</f>
      </c>
    </row>
    <row r="485" spans="1:10" x14ac:dyDescent="0.25">
      <c r="A485" s="11"/>
      <c r="B485" s="11"/>
      <c r="C485" s="11"/>
      <c r="D485" s="11"/>
      <c r="E485" s="11"/>
      <c r="F485" s="3">
        <f>IF(B485="","",MAX(0,D485-E485))</f>
      </c>
      <c r="G485" s="11"/>
      <c r="H485" s="3">
        <f>IF(B485="","",IF(C485="","כן","לא"))</f>
      </c>
      <c r="I485" s="3">
        <f>IF(B485="","",IF(D485=0,"כן","לא"))</f>
      </c>
      <c r="J485" s="3">
        <f>IF(B485="","",IF(F485&gt;0,"כן","לא"))</f>
      </c>
    </row>
    <row r="486" spans="1:10" x14ac:dyDescent="0.25">
      <c r="A486" s="11"/>
      <c r="B486" s="11"/>
      <c r="C486" s="11"/>
      <c r="D486" s="11"/>
      <c r="E486" s="11"/>
      <c r="F486" s="3">
        <f>IF(B486="","",MAX(0,D486-E486))</f>
      </c>
      <c r="G486" s="11"/>
      <c r="H486" s="3">
        <f>IF(B486="","",IF(C486="","כן","לא"))</f>
      </c>
      <c r="I486" s="3">
        <f>IF(B486="","",IF(D486=0,"כן","לא"))</f>
      </c>
      <c r="J486" s="3">
        <f>IF(B486="","",IF(F486&gt;0,"כן","לא"))</f>
      </c>
    </row>
    <row r="487" spans="1:10" x14ac:dyDescent="0.25">
      <c r="A487" s="11"/>
      <c r="B487" s="11"/>
      <c r="C487" s="11"/>
      <c r="D487" s="11"/>
      <c r="E487" s="11"/>
      <c r="F487" s="3">
        <f>IF(B487="","",MAX(0,D487-E487))</f>
      </c>
      <c r="G487" s="11"/>
      <c r="H487" s="3">
        <f>IF(B487="","",IF(C487="","כן","לא"))</f>
      </c>
      <c r="I487" s="3">
        <f>IF(B487="","",IF(D487=0,"כן","לא"))</f>
      </c>
      <c r="J487" s="3">
        <f>IF(B487="","",IF(F487&gt;0,"כן","לא"))</f>
      </c>
    </row>
    <row r="488" spans="1:10" x14ac:dyDescent="0.25">
      <c r="A488" s="11"/>
      <c r="B488" s="11"/>
      <c r="C488" s="11"/>
      <c r="D488" s="11"/>
      <c r="E488" s="11"/>
      <c r="F488" s="3">
        <f>IF(B488="","",MAX(0,D488-E488))</f>
      </c>
      <c r="G488" s="11"/>
      <c r="H488" s="3">
        <f>IF(B488="","",IF(C488="","כן","לא"))</f>
      </c>
      <c r="I488" s="3">
        <f>IF(B488="","",IF(D488=0,"כן","לא"))</f>
      </c>
      <c r="J488" s="3">
        <f>IF(B488="","",IF(F488&gt;0,"כן","לא"))</f>
      </c>
    </row>
    <row r="489" spans="1:10" x14ac:dyDescent="0.25">
      <c r="A489" s="11"/>
      <c r="B489" s="11"/>
      <c r="C489" s="11"/>
      <c r="D489" s="11"/>
      <c r="E489" s="11"/>
      <c r="F489" s="3">
        <f>IF(B489="","",MAX(0,D489-E489))</f>
      </c>
      <c r="G489" s="11"/>
      <c r="H489" s="3">
        <f>IF(B489="","",IF(C489="","כן","לא"))</f>
      </c>
      <c r="I489" s="3">
        <f>IF(B489="","",IF(D489=0,"כן","לא"))</f>
      </c>
      <c r="J489" s="3">
        <f>IF(B489="","",IF(F489&gt;0,"כן","לא"))</f>
      </c>
    </row>
    <row r="490" spans="1:10" x14ac:dyDescent="0.25">
      <c r="A490" s="11"/>
      <c r="B490" s="11"/>
      <c r="C490" s="11"/>
      <c r="D490" s="11"/>
      <c r="E490" s="11"/>
      <c r="F490" s="3">
        <f>IF(B490="","",MAX(0,D490-E490))</f>
      </c>
      <c r="G490" s="11"/>
      <c r="H490" s="3">
        <f>IF(B490="","",IF(C490="","כן","לא"))</f>
      </c>
      <c r="I490" s="3">
        <f>IF(B490="","",IF(D490=0,"כן","לא"))</f>
      </c>
      <c r="J490" s="3">
        <f>IF(B490="","",IF(F490&gt;0,"כן","לא"))</f>
      </c>
    </row>
    <row r="491" spans="1:10" x14ac:dyDescent="0.25">
      <c r="A491" s="11"/>
      <c r="B491" s="11"/>
      <c r="C491" s="11"/>
      <c r="D491" s="11"/>
      <c r="E491" s="11"/>
      <c r="F491" s="3">
        <f>IF(B491="","",MAX(0,D491-E491))</f>
      </c>
      <c r="G491" s="11"/>
      <c r="H491" s="3">
        <f>IF(B491="","",IF(C491="","כן","לא"))</f>
      </c>
      <c r="I491" s="3">
        <f>IF(B491="","",IF(D491=0,"כן","לא"))</f>
      </c>
      <c r="J491" s="3">
        <f>IF(B491="","",IF(F491&gt;0,"כן","לא"))</f>
      </c>
    </row>
    <row r="492" spans="1:10" x14ac:dyDescent="0.25">
      <c r="A492" s="11"/>
      <c r="B492" s="11"/>
      <c r="C492" s="11"/>
      <c r="D492" s="11"/>
      <c r="E492" s="11"/>
      <c r="F492" s="3">
        <f>IF(B492="","",MAX(0,D492-E492))</f>
      </c>
      <c r="G492" s="11"/>
      <c r="H492" s="3">
        <f>IF(B492="","",IF(C492="","כן","לא"))</f>
      </c>
      <c r="I492" s="3">
        <f>IF(B492="","",IF(D492=0,"כן","לא"))</f>
      </c>
      <c r="J492" s="3">
        <f>IF(B492="","",IF(F492&gt;0,"כן","לא"))</f>
      </c>
    </row>
    <row r="493" spans="1:10" x14ac:dyDescent="0.25">
      <c r="A493" s="11"/>
      <c r="B493" s="11"/>
      <c r="C493" s="11"/>
      <c r="D493" s="11"/>
      <c r="E493" s="11"/>
      <c r="F493" s="3">
        <f>IF(B493="","",MAX(0,D493-E493))</f>
      </c>
      <c r="G493" s="11"/>
      <c r="H493" s="3">
        <f>IF(B493="","",IF(C493="","כן","לא"))</f>
      </c>
      <c r="I493" s="3">
        <f>IF(B493="","",IF(D493=0,"כן","לא"))</f>
      </c>
      <c r="J493" s="3">
        <f>IF(B493="","",IF(F493&gt;0,"כן","לא"))</f>
      </c>
    </row>
    <row r="494" spans="1:10" x14ac:dyDescent="0.25">
      <c r="A494" s="11"/>
      <c r="B494" s="11"/>
      <c r="C494" s="11"/>
      <c r="D494" s="11"/>
      <c r="E494" s="11"/>
      <c r="F494" s="3">
        <f>IF(B494="","",MAX(0,D494-E494))</f>
      </c>
      <c r="G494" s="11"/>
      <c r="H494" s="3">
        <f>IF(B494="","",IF(C494="","כן","לא"))</f>
      </c>
      <c r="I494" s="3">
        <f>IF(B494="","",IF(D494=0,"כן","לא"))</f>
      </c>
      <c r="J494" s="3">
        <f>IF(B494="","",IF(F494&gt;0,"כן","לא"))</f>
      </c>
    </row>
    <row r="495" spans="1:10" x14ac:dyDescent="0.25">
      <c r="A495" s="11"/>
      <c r="B495" s="11"/>
      <c r="C495" s="11"/>
      <c r="D495" s="11"/>
      <c r="E495" s="11"/>
      <c r="F495" s="3">
        <f>IF(B495="","",MAX(0,D495-E495))</f>
      </c>
      <c r="G495" s="11"/>
      <c r="H495" s="3">
        <f>IF(B495="","",IF(C495="","כן","לא"))</f>
      </c>
      <c r="I495" s="3">
        <f>IF(B495="","",IF(D495=0,"כן","לא"))</f>
      </c>
      <c r="J495" s="3">
        <f>IF(B495="","",IF(F495&gt;0,"כן","לא"))</f>
      </c>
    </row>
    <row r="496" spans="1:10" x14ac:dyDescent="0.25">
      <c r="A496" s="11"/>
      <c r="B496" s="11"/>
      <c r="C496" s="11"/>
      <c r="D496" s="11"/>
      <c r="E496" s="11"/>
      <c r="F496" s="3">
        <f>IF(B496="","",MAX(0,D496-E496))</f>
      </c>
      <c r="G496" s="11"/>
      <c r="H496" s="3">
        <f>IF(B496="","",IF(C496="","כן","לא"))</f>
      </c>
      <c r="I496" s="3">
        <f>IF(B496="","",IF(D496=0,"כן","לא"))</f>
      </c>
      <c r="J496" s="3">
        <f>IF(B496="","",IF(F496&gt;0,"כן","לא"))</f>
      </c>
    </row>
    <row r="497" spans="1:10" x14ac:dyDescent="0.25">
      <c r="A497" s="11"/>
      <c r="B497" s="11"/>
      <c r="C497" s="11"/>
      <c r="D497" s="11"/>
      <c r="E497" s="11"/>
      <c r="F497" s="3">
        <f>IF(B497="","",MAX(0,D497-E497))</f>
      </c>
      <c r="G497" s="11"/>
      <c r="H497" s="3">
        <f>IF(B497="","",IF(C497="","כן","לא"))</f>
      </c>
      <c r="I497" s="3">
        <f>IF(B497="","",IF(D497=0,"כן","לא"))</f>
      </c>
      <c r="J497" s="3">
        <f>IF(B497="","",IF(F497&gt;0,"כן","לא"))</f>
      </c>
    </row>
    <row r="498" spans="1:10" x14ac:dyDescent="0.25">
      <c r="A498" s="11"/>
      <c r="B498" s="11"/>
      <c r="C498" s="11"/>
      <c r="D498" s="11"/>
      <c r="E498" s="11"/>
      <c r="F498" s="3">
        <f>IF(B498="","",MAX(0,D498-E498))</f>
      </c>
      <c r="G498" s="11"/>
      <c r="H498" s="3">
        <f>IF(B498="","",IF(C498="","כן","לא"))</f>
      </c>
      <c r="I498" s="3">
        <f>IF(B498="","",IF(D498=0,"כן","לא"))</f>
      </c>
      <c r="J498" s="3">
        <f>IF(B498="","",IF(F498&gt;0,"כן","לא"))</f>
      </c>
    </row>
    <row r="499" spans="1:10" x14ac:dyDescent="0.25">
      <c r="A499" s="11"/>
      <c r="B499" s="11"/>
      <c r="C499" s="11"/>
      <c r="D499" s="11"/>
      <c r="E499" s="11"/>
      <c r="F499" s="3">
        <f>IF(B499="","",MAX(0,D499-E499))</f>
      </c>
      <c r="G499" s="11"/>
      <c r="H499" s="3">
        <f>IF(B499="","",IF(C499="","כן","לא"))</f>
      </c>
      <c r="I499" s="3">
        <f>IF(B499="","",IF(D499=0,"כן","לא"))</f>
      </c>
      <c r="J499" s="3">
        <f>IF(B499="","",IF(F499&gt;0,"כן","לא"))</f>
      </c>
    </row>
    <row r="500" spans="1:10" x14ac:dyDescent="0.25">
      <c r="A500" s="11"/>
      <c r="B500" s="11"/>
      <c r="C500" s="11"/>
      <c r="D500" s="11"/>
      <c r="E500" s="11"/>
      <c r="F500" s="3">
        <f>IF(B500="","",MAX(0,D500-E500))</f>
      </c>
      <c r="G500" s="11"/>
      <c r="H500" s="3">
        <f>IF(B500="","",IF(C500="","כן","לא"))</f>
      </c>
      <c r="I500" s="3">
        <f>IF(B500="","",IF(D500=0,"כן","לא"))</f>
      </c>
      <c r="J500" s="3">
        <f>IF(B500="","",IF(F500&gt;0,"כן","לא"))</f>
      </c>
    </row>
    <row r="501" spans="1:10" x14ac:dyDescent="0.25">
      <c r="A501" s="11"/>
      <c r="B501" s="11"/>
      <c r="C501" s="11"/>
      <c r="D501" s="11"/>
      <c r="E501" s="11"/>
      <c r="F501" s="3">
        <f>IF(B501="","",MAX(0,D501-E501))</f>
      </c>
      <c r="G501" s="11"/>
      <c r="H501" s="3">
        <f>IF(B501="","",IF(C501="","כן","לא"))</f>
      </c>
      <c r="I501" s="3">
        <f>IF(B501="","",IF(D501=0,"כן","לא"))</f>
      </c>
      <c r="J501" s="3">
        <f>IF(B501="","",IF(F501&gt;0,"כן","לא"))</f>
      </c>
    </row>
    <row r="502" spans="1:10" x14ac:dyDescent="0.25">
      <c r="A502" s="11"/>
      <c r="B502" s="11"/>
      <c r="C502" s="11"/>
      <c r="D502" s="11"/>
      <c r="E502" s="11"/>
      <c r="F502" s="3">
        <f>IF(B502="","",MAX(0,D502-E502))</f>
      </c>
      <c r="G502" s="11"/>
      <c r="H502" s="3">
        <f>IF(B502="","",IF(C502="","כן","לא"))</f>
      </c>
      <c r="I502" s="3">
        <f>IF(B502="","",IF(D502=0,"כן","לא"))</f>
      </c>
      <c r="J502" s="3">
        <f>IF(B502="","",IF(F502&gt;0,"כן","לא"))</f>
      </c>
    </row>
    <row r="503" spans="1:10" x14ac:dyDescent="0.25">
      <c r="A503" s="11"/>
      <c r="B503" s="11"/>
      <c r="C503" s="11"/>
      <c r="D503" s="11"/>
      <c r="E503" s="11"/>
      <c r="F503" s="3">
        <f>IF(B503="","",MAX(0,D503-E503))</f>
      </c>
      <c r="G503" s="11"/>
      <c r="H503" s="3">
        <f>IF(B503="","",IF(C503="","כן","לא"))</f>
      </c>
      <c r="I503" s="3">
        <f>IF(B503="","",IF(D503=0,"כן","לא"))</f>
      </c>
      <c r="J503" s="3">
        <f>IF(B503="","",IF(F503&gt;0,"כן","לא"))</f>
      </c>
    </row>
    <row r="504" spans="1:10" x14ac:dyDescent="0.25">
      <c r="A504" s="11"/>
      <c r="B504" s="11"/>
      <c r="C504" s="11"/>
      <c r="D504" s="11"/>
      <c r="E504" s="11"/>
      <c r="F504" s="3">
        <f>IF(B504="","",MAX(0,D504-E504))</f>
      </c>
      <c r="G504" s="11"/>
      <c r="H504" s="3">
        <f>IF(B504="","",IF(C504="","כן","לא"))</f>
      </c>
      <c r="I504" s="3">
        <f>IF(B504="","",IF(D504=0,"כן","לא"))</f>
      </c>
      <c r="J504" s="3">
        <f>IF(B504="","",IF(F504&gt;0,"כן","לא"))</f>
      </c>
    </row>
    <row r="505" spans="1:10" x14ac:dyDescent="0.25">
      <c r="A505" s="11"/>
      <c r="B505" s="11"/>
      <c r="C505" s="11"/>
      <c r="D505" s="11"/>
      <c r="E505" s="11"/>
      <c r="F505" s="3">
        <f>IF(B505="","",MAX(0,D505-E505))</f>
      </c>
      <c r="G505" s="11"/>
      <c r="H505" s="3">
        <f>IF(B505="","",IF(C505="","כן","לא"))</f>
      </c>
      <c r="I505" s="3">
        <f>IF(B505="","",IF(D505=0,"כן","לא"))</f>
      </c>
      <c r="J505" s="3">
        <f>IF(B505="","",IF(F505&gt;0,"כן","לא"))</f>
      </c>
    </row>
    <row r="506" spans="1:10" x14ac:dyDescent="0.25">
      <c r="A506" s="11"/>
      <c r="B506" s="11"/>
      <c r="C506" s="11"/>
      <c r="D506" s="11"/>
      <c r="E506" s="11"/>
      <c r="F506" s="3">
        <f>IF(B506="","",MAX(0,D506-E506))</f>
      </c>
      <c r="G506" s="11"/>
      <c r="H506" s="3">
        <f>IF(B506="","",IF(C506="","כן","לא"))</f>
      </c>
      <c r="I506" s="3">
        <f>IF(B506="","",IF(D506=0,"כן","לא"))</f>
      </c>
      <c r="J506" s="3">
        <f>IF(B506="","",IF(F506&gt;0,"כן","לא"))</f>
      </c>
    </row>
    <row r="507" spans="1:10" x14ac:dyDescent="0.25">
      <c r="A507" s="11"/>
      <c r="B507" s="11"/>
      <c r="C507" s="11"/>
      <c r="D507" s="11"/>
      <c r="E507" s="11"/>
      <c r="F507" s="3">
        <f>IF(B507="","",MAX(0,D507-E507))</f>
      </c>
      <c r="G507" s="11"/>
      <c r="H507" s="3">
        <f>IF(B507="","",IF(C507="","כן","לא"))</f>
      </c>
      <c r="I507" s="3">
        <f>IF(B507="","",IF(D507=0,"כן","לא"))</f>
      </c>
      <c r="J507" s="3">
        <f>IF(B507="","",IF(F507&gt;0,"כן","לא"))</f>
      </c>
    </row>
    <row r="508" spans="1:10" x14ac:dyDescent="0.25">
      <c r="A508" s="11"/>
      <c r="B508" s="11"/>
      <c r="C508" s="11"/>
      <c r="D508" s="11"/>
      <c r="E508" s="11"/>
      <c r="F508" s="3">
        <f>IF(B508="","",MAX(0,D508-E508))</f>
      </c>
      <c r="G508" s="11"/>
      <c r="H508" s="3">
        <f>IF(B508="","",IF(C508="","כן","לא"))</f>
      </c>
      <c r="I508" s="3">
        <f>IF(B508="","",IF(D508=0,"כן","לא"))</f>
      </c>
      <c r="J508" s="3">
        <f>IF(B508="","",IF(F508&gt;0,"כן","לא"))</f>
      </c>
    </row>
    <row r="509" spans="1:10" x14ac:dyDescent="0.25">
      <c r="A509" s="11"/>
      <c r="B509" s="11"/>
      <c r="C509" s="11"/>
      <c r="D509" s="11"/>
      <c r="E509" s="11"/>
      <c r="F509" s="3">
        <f>IF(B509="","",MAX(0,D509-E509))</f>
      </c>
      <c r="G509" s="11"/>
      <c r="H509" s="3">
        <f>IF(B509="","",IF(C509="","כן","לא"))</f>
      </c>
      <c r="I509" s="3">
        <f>IF(B509="","",IF(D509=0,"כן","לא"))</f>
      </c>
      <c r="J509" s="3">
        <f>IF(B509="","",IF(F509&gt;0,"כן","לא"))</f>
      </c>
    </row>
    <row r="510" spans="1:10" x14ac:dyDescent="0.25">
      <c r="A510" s="11"/>
      <c r="B510" s="11"/>
      <c r="C510" s="11"/>
      <c r="D510" s="11"/>
      <c r="E510" s="11"/>
      <c r="F510" s="3">
        <f>IF(B510="","",MAX(0,D510-E510))</f>
      </c>
      <c r="G510" s="11"/>
      <c r="H510" s="3">
        <f>IF(B510="","",IF(C510="","כן","לא"))</f>
      </c>
      <c r="I510" s="3">
        <f>IF(B510="","",IF(D510=0,"כן","לא"))</f>
      </c>
      <c r="J510" s="3">
        <f>IF(B510="","",IF(F510&gt;0,"כן","לא"))</f>
      </c>
    </row>
    <row r="511" spans="1:10" x14ac:dyDescent="0.25">
      <c r="A511" s="11"/>
      <c r="B511" s="11"/>
      <c r="C511" s="11"/>
      <c r="D511" s="11"/>
      <c r="E511" s="11"/>
      <c r="F511" s="3">
        <f>IF(B511="","",MAX(0,D511-E511))</f>
      </c>
      <c r="G511" s="11"/>
      <c r="H511" s="3">
        <f>IF(B511="","",IF(C511="","כן","לא"))</f>
      </c>
      <c r="I511" s="3">
        <f>IF(B511="","",IF(D511=0,"כן","לא"))</f>
      </c>
      <c r="J511" s="3">
        <f>IF(B511="","",IF(F511&gt;0,"כן","לא"))</f>
      </c>
    </row>
    <row r="512" spans="1:10" x14ac:dyDescent="0.25">
      <c r="A512" s="11"/>
      <c r="B512" s="11"/>
      <c r="C512" s="11"/>
      <c r="D512" s="11"/>
      <c r="E512" s="11"/>
      <c r="F512" s="3">
        <f>IF(B512="","",MAX(0,D512-E512))</f>
      </c>
      <c r="G512" s="11"/>
      <c r="H512" s="3">
        <f>IF(B512="","",IF(C512="","כן","לא"))</f>
      </c>
      <c r="I512" s="3">
        <f>IF(B512="","",IF(D512=0,"כן","לא"))</f>
      </c>
      <c r="J512" s="3">
        <f>IF(B512="","",IF(F512&gt;0,"כן","לא"))</f>
      </c>
    </row>
    <row r="513" spans="1:10" x14ac:dyDescent="0.25">
      <c r="A513" s="11"/>
      <c r="B513" s="11"/>
      <c r="C513" s="11"/>
      <c r="D513" s="11"/>
      <c r="E513" s="11"/>
      <c r="F513" s="3">
        <f>IF(B513="","",MAX(0,D513-E513))</f>
      </c>
      <c r="G513" s="11"/>
      <c r="H513" s="3">
        <f>IF(B513="","",IF(C513="","כן","לא"))</f>
      </c>
      <c r="I513" s="3">
        <f>IF(B513="","",IF(D513=0,"כן","לא"))</f>
      </c>
      <c r="J513" s="3">
        <f>IF(B513="","",IF(F513&gt;0,"כן","לא"))</f>
      </c>
    </row>
    <row r="514" spans="1:10" x14ac:dyDescent="0.25">
      <c r="A514" s="11"/>
      <c r="B514" s="11"/>
      <c r="C514" s="11"/>
      <c r="D514" s="11"/>
      <c r="E514" s="11"/>
      <c r="F514" s="3">
        <f>IF(B514="","",MAX(0,D514-E514))</f>
      </c>
      <c r="G514" s="11"/>
      <c r="H514" s="3">
        <f>IF(B514="","",IF(C514="","כן","לא"))</f>
      </c>
      <c r="I514" s="3">
        <f>IF(B514="","",IF(D514=0,"כן","לא"))</f>
      </c>
      <c r="J514" s="3">
        <f>IF(B514="","",IF(F514&gt;0,"כן","לא"))</f>
      </c>
    </row>
    <row r="515" spans="1:10" x14ac:dyDescent="0.25">
      <c r="A515" s="11"/>
      <c r="B515" s="11"/>
      <c r="C515" s="11"/>
      <c r="D515" s="11"/>
      <c r="E515" s="11"/>
      <c r="F515" s="3">
        <f>IF(B515="","",MAX(0,D515-E515))</f>
      </c>
      <c r="G515" s="11"/>
      <c r="H515" s="3">
        <f>IF(B515="","",IF(C515="","כן","לא"))</f>
      </c>
      <c r="I515" s="3">
        <f>IF(B515="","",IF(D515=0,"כן","לא"))</f>
      </c>
      <c r="J515" s="3">
        <f>IF(B515="","",IF(F515&gt;0,"כן","לא"))</f>
      </c>
    </row>
    <row r="516" spans="1:10" x14ac:dyDescent="0.25">
      <c r="A516" s="11"/>
      <c r="B516" s="11"/>
      <c r="C516" s="11"/>
      <c r="D516" s="11"/>
      <c r="E516" s="11"/>
      <c r="F516" s="3">
        <f>IF(B516="","",MAX(0,D516-E516))</f>
      </c>
      <c r="G516" s="11"/>
      <c r="H516" s="3">
        <f>IF(B516="","",IF(C516="","כן","לא"))</f>
      </c>
      <c r="I516" s="3">
        <f>IF(B516="","",IF(D516=0,"כן","לא"))</f>
      </c>
      <c r="J516" s="3">
        <f>IF(B516="","",IF(F516&gt;0,"כן","לא"))</f>
      </c>
    </row>
    <row r="517" spans="1:10" x14ac:dyDescent="0.25">
      <c r="A517" s="11"/>
      <c r="B517" s="11"/>
      <c r="C517" s="11"/>
      <c r="D517" s="11"/>
      <c r="E517" s="11"/>
      <c r="F517" s="3">
        <f>IF(B517="","",MAX(0,D517-E517))</f>
      </c>
      <c r="G517" s="11"/>
      <c r="H517" s="3">
        <f>IF(B517="","",IF(C517="","כן","לא"))</f>
      </c>
      <c r="I517" s="3">
        <f>IF(B517="","",IF(D517=0,"כן","לא"))</f>
      </c>
      <c r="J517" s="3">
        <f>IF(B517="","",IF(F517&gt;0,"כן","לא"))</f>
      </c>
    </row>
    <row r="518" spans="1:10" x14ac:dyDescent="0.25">
      <c r="A518" s="11"/>
      <c r="B518" s="11"/>
      <c r="C518" s="11"/>
      <c r="D518" s="11"/>
      <c r="E518" s="11"/>
      <c r="F518" s="3">
        <f>IF(B518="","",MAX(0,D518-E518))</f>
      </c>
      <c r="G518" s="11"/>
      <c r="H518" s="3">
        <f>IF(B518="","",IF(C518="","כן","לא"))</f>
      </c>
      <c r="I518" s="3">
        <f>IF(B518="","",IF(D518=0,"כן","לא"))</f>
      </c>
      <c r="J518" s="3">
        <f>IF(B518="","",IF(F518&gt;0,"כן","לא"))</f>
      </c>
    </row>
    <row r="519" spans="1:10" x14ac:dyDescent="0.25">
      <c r="A519" s="11"/>
      <c r="B519" s="11"/>
      <c r="C519" s="11"/>
      <c r="D519" s="11"/>
      <c r="E519" s="11"/>
      <c r="F519" s="3">
        <f>IF(B519="","",MAX(0,D519-E519))</f>
      </c>
      <c r="G519" s="11"/>
      <c r="H519" s="3">
        <f>IF(B519="","",IF(C519="","כן","לא"))</f>
      </c>
      <c r="I519" s="3">
        <f>IF(B519="","",IF(D519=0,"כן","לא"))</f>
      </c>
      <c r="J519" s="3">
        <f>IF(B519="","",IF(F519&gt;0,"כן","לא"))</f>
      </c>
    </row>
    <row r="520" spans="1:10" x14ac:dyDescent="0.25">
      <c r="A520" s="11"/>
      <c r="B520" s="11"/>
      <c r="C520" s="11"/>
      <c r="D520" s="11"/>
      <c r="E520" s="11"/>
      <c r="F520" s="3">
        <f>IF(B520="","",MAX(0,D520-E520))</f>
      </c>
      <c r="G520" s="11"/>
      <c r="H520" s="3">
        <f>IF(B520="","",IF(C520="","כן","לא"))</f>
      </c>
      <c r="I520" s="3">
        <f>IF(B520="","",IF(D520=0,"כן","לא"))</f>
      </c>
      <c r="J520" s="3">
        <f>IF(B520="","",IF(F520&gt;0,"כן","לא"))</f>
      </c>
    </row>
    <row r="521" spans="1:10" x14ac:dyDescent="0.25">
      <c r="A521" s="11"/>
      <c r="B521" s="11"/>
      <c r="C521" s="11"/>
      <c r="D521" s="11"/>
      <c r="E521" s="11"/>
      <c r="F521" s="3">
        <f>IF(B521="","",MAX(0,D521-E521))</f>
      </c>
      <c r="G521" s="11"/>
      <c r="H521" s="3">
        <f>IF(B521="","",IF(C521="","כן","לא"))</f>
      </c>
      <c r="I521" s="3">
        <f>IF(B521="","",IF(D521=0,"כן","לא"))</f>
      </c>
      <c r="J521" s="3">
        <f>IF(B521="","",IF(F521&gt;0,"כן","לא"))</f>
      </c>
    </row>
    <row r="522" spans="1:10" x14ac:dyDescent="0.25">
      <c r="A522" s="11"/>
      <c r="B522" s="11"/>
      <c r="C522" s="11"/>
      <c r="D522" s="11"/>
      <c r="E522" s="11"/>
      <c r="F522" s="3">
        <f>IF(B522="","",MAX(0,D522-E522))</f>
      </c>
      <c r="G522" s="11"/>
      <c r="H522" s="3">
        <f>IF(B522="","",IF(C522="","כן","לא"))</f>
      </c>
      <c r="I522" s="3">
        <f>IF(B522="","",IF(D522=0,"כן","לא"))</f>
      </c>
      <c r="J522" s="3">
        <f>IF(B522="","",IF(F522&gt;0,"כן","לא"))</f>
      </c>
    </row>
    <row r="523" spans="1:10" x14ac:dyDescent="0.25">
      <c r="A523" s="11"/>
      <c r="B523" s="11"/>
      <c r="C523" s="11"/>
      <c r="D523" s="11"/>
      <c r="E523" s="11"/>
      <c r="F523" s="3">
        <f>IF(B523="","",MAX(0,D523-E523))</f>
      </c>
      <c r="G523" s="11"/>
      <c r="H523" s="3">
        <f>IF(B523="","",IF(C523="","כן","לא"))</f>
      </c>
      <c r="I523" s="3">
        <f>IF(B523="","",IF(D523=0,"כן","לא"))</f>
      </c>
      <c r="J523" s="3">
        <f>IF(B523="","",IF(F523&gt;0,"כן","לא"))</f>
      </c>
    </row>
    <row r="524" spans="1:10" x14ac:dyDescent="0.25">
      <c r="A524" s="11"/>
      <c r="B524" s="11"/>
      <c r="C524" s="11"/>
      <c r="D524" s="11"/>
      <c r="E524" s="11"/>
      <c r="F524" s="3">
        <f>IF(B524="","",MAX(0,D524-E524))</f>
      </c>
      <c r="G524" s="11"/>
      <c r="H524" s="3">
        <f>IF(B524="","",IF(C524="","כן","לא"))</f>
      </c>
      <c r="I524" s="3">
        <f>IF(B524="","",IF(D524=0,"כן","לא"))</f>
      </c>
      <c r="J524" s="3">
        <f>IF(B524="","",IF(F524&gt;0,"כן","לא"))</f>
      </c>
    </row>
    <row r="525" spans="1:10" x14ac:dyDescent="0.25">
      <c r="A525" s="11"/>
      <c r="B525" s="11"/>
      <c r="C525" s="11"/>
      <c r="D525" s="11"/>
      <c r="E525" s="11"/>
      <c r="F525" s="3">
        <f>IF(B525="","",MAX(0,D525-E525))</f>
      </c>
      <c r="G525" s="11"/>
      <c r="H525" s="3">
        <f>IF(B525="","",IF(C525="","כן","לא"))</f>
      </c>
      <c r="I525" s="3">
        <f>IF(B525="","",IF(D525=0,"כן","לא"))</f>
      </c>
      <c r="J525" s="3">
        <f>IF(B525="","",IF(F525&gt;0,"כן","לא"))</f>
      </c>
    </row>
    <row r="526" spans="1:10" x14ac:dyDescent="0.25">
      <c r="A526" s="11"/>
      <c r="B526" s="11"/>
      <c r="C526" s="11"/>
      <c r="D526" s="11"/>
      <c r="E526" s="11"/>
      <c r="F526" s="3">
        <f>IF(B526="","",MAX(0,D526-E526))</f>
      </c>
      <c r="G526" s="11"/>
      <c r="H526" s="3">
        <f>IF(B526="","",IF(C526="","כן","לא"))</f>
      </c>
      <c r="I526" s="3">
        <f>IF(B526="","",IF(D526=0,"כן","לא"))</f>
      </c>
      <c r="J526" s="3">
        <f>IF(B526="","",IF(F526&gt;0,"כן","לא"))</f>
      </c>
    </row>
    <row r="527" spans="1:10" x14ac:dyDescent="0.25">
      <c r="A527" s="11"/>
      <c r="B527" s="11"/>
      <c r="C527" s="11"/>
      <c r="D527" s="11"/>
      <c r="E527" s="11"/>
      <c r="F527" s="3">
        <f>IF(B527="","",MAX(0,D527-E527))</f>
      </c>
      <c r="G527" s="11"/>
      <c r="H527" s="3">
        <f>IF(B527="","",IF(C527="","כן","לא"))</f>
      </c>
      <c r="I527" s="3">
        <f>IF(B527="","",IF(D527=0,"כן","לא"))</f>
      </c>
      <c r="J527" s="3">
        <f>IF(B527="","",IF(F527&gt;0,"כן","לא"))</f>
      </c>
    </row>
    <row r="528" spans="1:10" x14ac:dyDescent="0.25">
      <c r="A528" s="11"/>
      <c r="B528" s="11"/>
      <c r="C528" s="11"/>
      <c r="D528" s="11"/>
      <c r="E528" s="11"/>
      <c r="F528" s="3">
        <f>IF(B528="","",MAX(0,D528-E528))</f>
      </c>
      <c r="G528" s="11"/>
      <c r="H528" s="3">
        <f>IF(B528="","",IF(C528="","כן","לא"))</f>
      </c>
      <c r="I528" s="3">
        <f>IF(B528="","",IF(D528=0,"כן","לא"))</f>
      </c>
      <c r="J528" s="3">
        <f>IF(B528="","",IF(F528&gt;0,"כן","לא"))</f>
      </c>
    </row>
    <row r="529" spans="1:10" x14ac:dyDescent="0.25">
      <c r="A529" s="11"/>
      <c r="B529" s="11"/>
      <c r="C529" s="11"/>
      <c r="D529" s="11"/>
      <c r="E529" s="11"/>
      <c r="F529" s="3">
        <f>IF(B529="","",MAX(0,D529-E529))</f>
      </c>
      <c r="G529" s="11"/>
      <c r="H529" s="3">
        <f>IF(B529="","",IF(C529="","כן","לא"))</f>
      </c>
      <c r="I529" s="3">
        <f>IF(B529="","",IF(D529=0,"כן","לא"))</f>
      </c>
      <c r="J529" s="3">
        <f>IF(B529="","",IF(F529&gt;0,"כן","לא"))</f>
      </c>
    </row>
    <row r="530" spans="1:10" x14ac:dyDescent="0.25">
      <c r="A530" s="11"/>
      <c r="B530" s="11"/>
      <c r="C530" s="11"/>
      <c r="D530" s="11"/>
      <c r="E530" s="11"/>
      <c r="F530" s="3">
        <f>IF(B530="","",MAX(0,D530-E530))</f>
      </c>
      <c r="G530" s="11"/>
      <c r="H530" s="3">
        <f>IF(B530="","",IF(C530="","כן","לא"))</f>
      </c>
      <c r="I530" s="3">
        <f>IF(B530="","",IF(D530=0,"כן","לא"))</f>
      </c>
      <c r="J530" s="3">
        <f>IF(B530="","",IF(F530&gt;0,"כן","לא"))</f>
      </c>
    </row>
    <row r="531" spans="1:10" x14ac:dyDescent="0.25">
      <c r="A531" s="11"/>
      <c r="B531" s="11"/>
      <c r="C531" s="11"/>
      <c r="D531" s="11"/>
      <c r="E531" s="11"/>
      <c r="F531" s="3">
        <f>IF(B531="","",MAX(0,D531-E531))</f>
      </c>
      <c r="G531" s="11"/>
      <c r="H531" s="3">
        <f>IF(B531="","",IF(C531="","כן","לא"))</f>
      </c>
      <c r="I531" s="3">
        <f>IF(B531="","",IF(D531=0,"כן","לא"))</f>
      </c>
      <c r="J531" s="3">
        <f>IF(B531="","",IF(F531&gt;0,"כן","לא"))</f>
      </c>
    </row>
    <row r="532" spans="1:10" x14ac:dyDescent="0.25">
      <c r="A532" s="11"/>
      <c r="B532" s="11"/>
      <c r="C532" s="11"/>
      <c r="D532" s="11"/>
      <c r="E532" s="11"/>
      <c r="F532" s="3">
        <f>IF(B532="","",MAX(0,D532-E532))</f>
      </c>
      <c r="G532" s="11"/>
      <c r="H532" s="3">
        <f>IF(B532="","",IF(C532="","כן","לא"))</f>
      </c>
      <c r="I532" s="3">
        <f>IF(B532="","",IF(D532=0,"כן","לא"))</f>
      </c>
      <c r="J532" s="3">
        <f>IF(B532="","",IF(F532&gt;0,"כן","לא"))</f>
      </c>
    </row>
    <row r="533" spans="1:10" x14ac:dyDescent="0.25">
      <c r="A533" s="11"/>
      <c r="B533" s="11"/>
      <c r="C533" s="11"/>
      <c r="D533" s="11"/>
      <c r="E533" s="11"/>
      <c r="F533" s="3">
        <f>IF(B533="","",MAX(0,D533-E533))</f>
      </c>
      <c r="G533" s="11"/>
      <c r="H533" s="3">
        <f>IF(B533="","",IF(C533="","כן","לא"))</f>
      </c>
      <c r="I533" s="3">
        <f>IF(B533="","",IF(D533=0,"כן","לא"))</f>
      </c>
      <c r="J533" s="3">
        <f>IF(B533="","",IF(F533&gt;0,"כן","לא"))</f>
      </c>
    </row>
    <row r="534" spans="1:10" x14ac:dyDescent="0.25">
      <c r="A534" s="11"/>
      <c r="B534" s="11"/>
      <c r="C534" s="11"/>
      <c r="D534" s="11"/>
      <c r="E534" s="11"/>
      <c r="F534" s="3">
        <f>IF(B534="","",MAX(0,D534-E534))</f>
      </c>
      <c r="G534" s="11"/>
      <c r="H534" s="3">
        <f>IF(B534="","",IF(C534="","כן","לא"))</f>
      </c>
      <c r="I534" s="3">
        <f>IF(B534="","",IF(D534=0,"כן","לא"))</f>
      </c>
      <c r="J534" s="3">
        <f>IF(B534="","",IF(F534&gt;0,"כן","לא"))</f>
      </c>
    </row>
    <row r="535" spans="1:10" x14ac:dyDescent="0.25">
      <c r="A535" s="11"/>
      <c r="B535" s="11"/>
      <c r="C535" s="11"/>
      <c r="D535" s="11"/>
      <c r="E535" s="11"/>
      <c r="F535" s="3">
        <f>IF(B535="","",MAX(0,D535-E535))</f>
      </c>
      <c r="G535" s="11"/>
      <c r="H535" s="3">
        <f>IF(B535="","",IF(C535="","כן","לא"))</f>
      </c>
      <c r="I535" s="3">
        <f>IF(B535="","",IF(D535=0,"כן","לא"))</f>
      </c>
      <c r="J535" s="3">
        <f>IF(B535="","",IF(F535&gt;0,"כן","לא"))</f>
      </c>
    </row>
    <row r="536" spans="1:10" x14ac:dyDescent="0.25">
      <c r="A536" s="11"/>
      <c r="B536" s="11"/>
      <c r="C536" s="11"/>
      <c r="D536" s="11"/>
      <c r="E536" s="11"/>
      <c r="F536" s="3">
        <f>IF(B536="","",MAX(0,D536-E536))</f>
      </c>
      <c r="G536" s="11"/>
      <c r="H536" s="3">
        <f>IF(B536="","",IF(C536="","כן","לא"))</f>
      </c>
      <c r="I536" s="3">
        <f>IF(B536="","",IF(D536=0,"כן","לא"))</f>
      </c>
      <c r="J536" s="3">
        <f>IF(B536="","",IF(F536&gt;0,"כן","לא"))</f>
      </c>
    </row>
    <row r="537" spans="1:10" x14ac:dyDescent="0.25">
      <c r="A537" s="11"/>
      <c r="B537" s="11"/>
      <c r="C537" s="11"/>
      <c r="D537" s="11"/>
      <c r="E537" s="11"/>
      <c r="F537" s="3">
        <f>IF(B537="","",MAX(0,D537-E537))</f>
      </c>
      <c r="G537" s="11"/>
      <c r="H537" s="3">
        <f>IF(B537="","",IF(C537="","כן","לא"))</f>
      </c>
      <c r="I537" s="3">
        <f>IF(B537="","",IF(D537=0,"כן","לא"))</f>
      </c>
      <c r="J537" s="3">
        <f>IF(B537="","",IF(F537&gt;0,"כן","לא"))</f>
      </c>
    </row>
    <row r="538" spans="1:10" x14ac:dyDescent="0.25">
      <c r="A538" s="11"/>
      <c r="B538" s="11"/>
      <c r="C538" s="11"/>
      <c r="D538" s="11"/>
      <c r="E538" s="11"/>
      <c r="F538" s="3">
        <f>IF(B538="","",MAX(0,D538-E538))</f>
      </c>
      <c r="G538" s="11"/>
      <c r="H538" s="3">
        <f>IF(B538="","",IF(C538="","כן","לא"))</f>
      </c>
      <c r="I538" s="3">
        <f>IF(B538="","",IF(D538=0,"כן","לא"))</f>
      </c>
      <c r="J538" s="3">
        <f>IF(B538="","",IF(F538&gt;0,"כן","לא"))</f>
      </c>
    </row>
    <row r="539" spans="1:10" x14ac:dyDescent="0.25">
      <c r="A539" s="11"/>
      <c r="B539" s="11"/>
      <c r="C539" s="11"/>
      <c r="D539" s="11"/>
      <c r="E539" s="11"/>
      <c r="F539" s="3">
        <f>IF(B539="","",MAX(0,D539-E539))</f>
      </c>
      <c r="G539" s="11"/>
      <c r="H539" s="3">
        <f>IF(B539="","",IF(C539="","כן","לא"))</f>
      </c>
      <c r="I539" s="3">
        <f>IF(B539="","",IF(D539=0,"כן","לא"))</f>
      </c>
      <c r="J539" s="3">
        <f>IF(B539="","",IF(F539&gt;0,"כן","לא"))</f>
      </c>
    </row>
    <row r="540" spans="1:10" x14ac:dyDescent="0.25">
      <c r="A540" s="11"/>
      <c r="B540" s="11"/>
      <c r="C540" s="11"/>
      <c r="D540" s="11"/>
      <c r="E540" s="11"/>
      <c r="F540" s="3">
        <f>IF(B540="","",MAX(0,D540-E540))</f>
      </c>
      <c r="G540" s="11"/>
      <c r="H540" s="3">
        <f>IF(B540="","",IF(C540="","כן","לא"))</f>
      </c>
      <c r="I540" s="3">
        <f>IF(B540="","",IF(D540=0,"כן","לא"))</f>
      </c>
      <c r="J540" s="3">
        <f>IF(B540="","",IF(F540&gt;0,"כן","לא"))</f>
      </c>
    </row>
    <row r="541" spans="1:10" x14ac:dyDescent="0.25">
      <c r="A541" s="11"/>
      <c r="B541" s="11"/>
      <c r="C541" s="11"/>
      <c r="D541" s="11"/>
      <c r="E541" s="11"/>
      <c r="F541" s="3">
        <f>IF(B541="","",MAX(0,D541-E541))</f>
      </c>
      <c r="G541" s="11"/>
      <c r="H541" s="3">
        <f>IF(B541="","",IF(C541="","כן","לא"))</f>
      </c>
      <c r="I541" s="3">
        <f>IF(B541="","",IF(D541=0,"כן","לא"))</f>
      </c>
      <c r="J541" s="3">
        <f>IF(B541="","",IF(F541&gt;0,"כן","לא"))</f>
      </c>
    </row>
    <row r="542" spans="1:10" x14ac:dyDescent="0.25">
      <c r="A542" s="11"/>
      <c r="B542" s="11"/>
      <c r="C542" s="11"/>
      <c r="D542" s="11"/>
      <c r="E542" s="11"/>
      <c r="F542" s="3">
        <f>IF(B542="","",MAX(0,D542-E542))</f>
      </c>
      <c r="G542" s="11"/>
      <c r="H542" s="3">
        <f>IF(B542="","",IF(C542="","כן","לא"))</f>
      </c>
      <c r="I542" s="3">
        <f>IF(B542="","",IF(D542=0,"כן","לא"))</f>
      </c>
      <c r="J542" s="3">
        <f>IF(B542="","",IF(F542&gt;0,"כן","לא"))</f>
      </c>
    </row>
    <row r="543" spans="1:10" x14ac:dyDescent="0.25">
      <c r="A543" s="11"/>
      <c r="B543" s="11"/>
      <c r="C543" s="11"/>
      <c r="D543" s="11"/>
      <c r="E543" s="11"/>
      <c r="F543" s="3">
        <f>IF(B543="","",MAX(0,D543-E543))</f>
      </c>
      <c r="G543" s="11"/>
      <c r="H543" s="3">
        <f>IF(B543="","",IF(C543="","כן","לא"))</f>
      </c>
      <c r="I543" s="3">
        <f>IF(B543="","",IF(D543=0,"כן","לא"))</f>
      </c>
      <c r="J543" s="3">
        <f>IF(B543="","",IF(F543&gt;0,"כן","לא"))</f>
      </c>
    </row>
    <row r="544" spans="1:10" x14ac:dyDescent="0.25">
      <c r="A544" s="11"/>
      <c r="B544" s="11"/>
      <c r="C544" s="11"/>
      <c r="D544" s="11"/>
      <c r="E544" s="11"/>
      <c r="F544" s="3">
        <f>IF(B544="","",MAX(0,D544-E544))</f>
      </c>
      <c r="G544" s="11"/>
      <c r="H544" s="3">
        <f>IF(B544="","",IF(C544="","כן","לא"))</f>
      </c>
      <c r="I544" s="3">
        <f>IF(B544="","",IF(D544=0,"כן","לא"))</f>
      </c>
      <c r="J544" s="3">
        <f>IF(B544="","",IF(F544&gt;0,"כן","לא"))</f>
      </c>
    </row>
    <row r="545" spans="1:10" x14ac:dyDescent="0.25">
      <c r="A545" s="11"/>
      <c r="B545" s="11"/>
      <c r="C545" s="11"/>
      <c r="D545" s="11"/>
      <c r="E545" s="11"/>
      <c r="F545" s="3">
        <f>IF(B545="","",MAX(0,D545-E545))</f>
      </c>
      <c r="G545" s="11"/>
      <c r="H545" s="3">
        <f>IF(B545="","",IF(C545="","כן","לא"))</f>
      </c>
      <c r="I545" s="3">
        <f>IF(B545="","",IF(D545=0,"כן","לא"))</f>
      </c>
      <c r="J545" s="3">
        <f>IF(B545="","",IF(F545&gt;0,"כן","לא"))</f>
      </c>
    </row>
    <row r="546" spans="1:10" x14ac:dyDescent="0.25">
      <c r="A546" s="11"/>
      <c r="B546" s="11"/>
      <c r="C546" s="11"/>
      <c r="D546" s="11"/>
      <c r="E546" s="11"/>
      <c r="F546" s="3">
        <f>IF(B546="","",MAX(0,D546-E546))</f>
      </c>
      <c r="G546" s="11"/>
      <c r="H546" s="3">
        <f>IF(B546="","",IF(C546="","כן","לא"))</f>
      </c>
      <c r="I546" s="3">
        <f>IF(B546="","",IF(D546=0,"כן","לא"))</f>
      </c>
      <c r="J546" s="3">
        <f>IF(B546="","",IF(F546&gt;0,"כן","לא"))</f>
      </c>
    </row>
    <row r="547" spans="1:10" x14ac:dyDescent="0.25">
      <c r="A547" s="11"/>
      <c r="B547" s="11"/>
      <c r="C547" s="11"/>
      <c r="D547" s="11"/>
      <c r="E547" s="11"/>
      <c r="F547" s="3">
        <f>IF(B547="","",MAX(0,D547-E547))</f>
      </c>
      <c r="G547" s="11"/>
      <c r="H547" s="3">
        <f>IF(B547="","",IF(C547="","כן","לא"))</f>
      </c>
      <c r="I547" s="3">
        <f>IF(B547="","",IF(D547=0,"כן","לא"))</f>
      </c>
      <c r="J547" s="3">
        <f>IF(B547="","",IF(F547&gt;0,"כן","לא"))</f>
      </c>
    </row>
    <row r="548" spans="1:10" x14ac:dyDescent="0.25">
      <c r="A548" s="11"/>
      <c r="B548" s="11"/>
      <c r="C548" s="11"/>
      <c r="D548" s="11"/>
      <c r="E548" s="11"/>
      <c r="F548" s="3">
        <f>IF(B548="","",MAX(0,D548-E548))</f>
      </c>
      <c r="G548" s="11"/>
      <c r="H548" s="3">
        <f>IF(B548="","",IF(C548="","כן","לא"))</f>
      </c>
      <c r="I548" s="3">
        <f>IF(B548="","",IF(D548=0,"כן","לא"))</f>
      </c>
      <c r="J548" s="3">
        <f>IF(B548="","",IF(F548&gt;0,"כן","לא"))</f>
      </c>
    </row>
    <row r="549" spans="1:10" x14ac:dyDescent="0.25">
      <c r="A549" s="11"/>
      <c r="B549" s="11"/>
      <c r="C549" s="11"/>
      <c r="D549" s="11"/>
      <c r="E549" s="11"/>
      <c r="F549" s="3">
        <f>IF(B549="","",MAX(0,D549-E549))</f>
      </c>
      <c r="G549" s="11"/>
      <c r="H549" s="3">
        <f>IF(B549="","",IF(C549="","כן","לא"))</f>
      </c>
      <c r="I549" s="3">
        <f>IF(B549="","",IF(D549=0,"כן","לא"))</f>
      </c>
      <c r="J549" s="3">
        <f>IF(B549="","",IF(F549&gt;0,"כן","לא"))</f>
      </c>
    </row>
    <row r="550" spans="1:10" x14ac:dyDescent="0.25">
      <c r="A550" s="11"/>
      <c r="B550" s="11"/>
      <c r="C550" s="11"/>
      <c r="D550" s="11"/>
      <c r="E550" s="11"/>
      <c r="F550" s="3">
        <f>IF(B550="","",MAX(0,D550-E550))</f>
      </c>
      <c r="G550" s="11"/>
      <c r="H550" s="3">
        <f>IF(B550="","",IF(C550="","כן","לא"))</f>
      </c>
      <c r="I550" s="3">
        <f>IF(B550="","",IF(D550=0,"כן","לא"))</f>
      </c>
      <c r="J550" s="3">
        <f>IF(B550="","",IF(F550&gt;0,"כן","לא"))</f>
      </c>
    </row>
    <row r="551" spans="1:10" x14ac:dyDescent="0.25">
      <c r="A551" s="11"/>
      <c r="B551" s="11"/>
      <c r="C551" s="11"/>
      <c r="D551" s="11"/>
      <c r="E551" s="11"/>
      <c r="F551" s="3">
        <f>IF(B551="","",MAX(0,D551-E551))</f>
      </c>
      <c r="G551" s="11"/>
      <c r="H551" s="3">
        <f>IF(B551="","",IF(C551="","כן","לא"))</f>
      </c>
      <c r="I551" s="3">
        <f>IF(B551="","",IF(D551=0,"כן","לא"))</f>
      </c>
      <c r="J551" s="3">
        <f>IF(B551="","",IF(F551&gt;0,"כן","לא"))</f>
      </c>
    </row>
    <row r="552" spans="1:10" x14ac:dyDescent="0.25">
      <c r="A552" s="11"/>
      <c r="B552" s="11"/>
      <c r="C552" s="11"/>
      <c r="D552" s="11"/>
      <c r="E552" s="11"/>
      <c r="F552" s="3">
        <f>IF(B552="","",MAX(0,D552-E552))</f>
      </c>
      <c r="G552" s="11"/>
      <c r="H552" s="3">
        <f>IF(B552="","",IF(C552="","כן","לא"))</f>
      </c>
      <c r="I552" s="3">
        <f>IF(B552="","",IF(D552=0,"כן","לא"))</f>
      </c>
      <c r="J552" s="3">
        <f>IF(B552="","",IF(F552&gt;0,"כן","לא"))</f>
      </c>
    </row>
    <row r="553" spans="1:10" x14ac:dyDescent="0.25">
      <c r="A553" s="11"/>
      <c r="B553" s="11"/>
      <c r="C553" s="11"/>
      <c r="D553" s="11"/>
      <c r="E553" s="11"/>
      <c r="F553" s="3">
        <f>IF(B553="","",MAX(0,D553-E553))</f>
      </c>
      <c r="G553" s="11"/>
      <c r="H553" s="3">
        <f>IF(B553="","",IF(C553="","כן","לא"))</f>
      </c>
      <c r="I553" s="3">
        <f>IF(B553="","",IF(D553=0,"כן","לא"))</f>
      </c>
      <c r="J553" s="3">
        <f>IF(B553="","",IF(F553&gt;0,"כן","לא"))</f>
      </c>
    </row>
    <row r="554" spans="1:10" x14ac:dyDescent="0.25">
      <c r="A554" s="11"/>
      <c r="B554" s="11"/>
      <c r="C554" s="11"/>
      <c r="D554" s="11"/>
      <c r="E554" s="11"/>
      <c r="F554" s="3">
        <f>IF(B554="","",MAX(0,D554-E554))</f>
      </c>
      <c r="G554" s="11"/>
      <c r="H554" s="3">
        <f>IF(B554="","",IF(C554="","כן","לא"))</f>
      </c>
      <c r="I554" s="3">
        <f>IF(B554="","",IF(D554=0,"כן","לא"))</f>
      </c>
      <c r="J554" s="3">
        <f>IF(B554="","",IF(F554&gt;0,"כן","לא"))</f>
      </c>
    </row>
    <row r="555" spans="1:10" x14ac:dyDescent="0.25">
      <c r="A555" s="11"/>
      <c r="B555" s="11"/>
      <c r="C555" s="11"/>
      <c r="D555" s="11"/>
      <c r="E555" s="11"/>
      <c r="F555" s="3">
        <f>IF(B555="","",MAX(0,D555-E555))</f>
      </c>
      <c r="G555" s="11"/>
      <c r="H555" s="3">
        <f>IF(B555="","",IF(C555="","כן","לא"))</f>
      </c>
      <c r="I555" s="3">
        <f>IF(B555="","",IF(D555=0,"כן","לא"))</f>
      </c>
      <c r="J555" s="3">
        <f>IF(B555="","",IF(F555&gt;0,"כן","לא"))</f>
      </c>
    </row>
    <row r="556" spans="1:10" x14ac:dyDescent="0.25">
      <c r="A556" s="11"/>
      <c r="B556" s="11"/>
      <c r="C556" s="11"/>
      <c r="D556" s="11"/>
      <c r="E556" s="11"/>
      <c r="F556" s="3">
        <f>IF(B556="","",MAX(0,D556-E556))</f>
      </c>
      <c r="G556" s="11"/>
      <c r="H556" s="3">
        <f>IF(B556="","",IF(C556="","כן","לא"))</f>
      </c>
      <c r="I556" s="3">
        <f>IF(B556="","",IF(D556=0,"כן","לא"))</f>
      </c>
      <c r="J556" s="3">
        <f>IF(B556="","",IF(F556&gt;0,"כן","לא"))</f>
      </c>
    </row>
    <row r="557" spans="1:10" x14ac:dyDescent="0.25">
      <c r="A557" s="11"/>
      <c r="B557" s="11"/>
      <c r="C557" s="11"/>
      <c r="D557" s="11"/>
      <c r="E557" s="11"/>
      <c r="F557" s="3">
        <f>IF(B557="","",MAX(0,D557-E557))</f>
      </c>
      <c r="G557" s="11"/>
      <c r="H557" s="3">
        <f>IF(B557="","",IF(C557="","כן","לא"))</f>
      </c>
      <c r="I557" s="3">
        <f>IF(B557="","",IF(D557=0,"כן","לא"))</f>
      </c>
      <c r="J557" s="3">
        <f>IF(B557="","",IF(F557&gt;0,"כן","לא"))</f>
      </c>
    </row>
    <row r="558" spans="1:10" x14ac:dyDescent="0.25">
      <c r="A558" s="11"/>
      <c r="B558" s="11"/>
      <c r="C558" s="11"/>
      <c r="D558" s="11"/>
      <c r="E558" s="11"/>
      <c r="F558" s="3">
        <f>IF(B558="","",MAX(0,D558-E558))</f>
      </c>
      <c r="G558" s="11"/>
      <c r="H558" s="3">
        <f>IF(B558="","",IF(C558="","כן","לא"))</f>
      </c>
      <c r="I558" s="3">
        <f>IF(B558="","",IF(D558=0,"כן","לא"))</f>
      </c>
      <c r="J558" s="3">
        <f>IF(B558="","",IF(F558&gt;0,"כן","לא"))</f>
      </c>
    </row>
    <row r="559" spans="1:10" x14ac:dyDescent="0.25">
      <c r="A559" s="11"/>
      <c r="B559" s="11"/>
      <c r="C559" s="11"/>
      <c r="D559" s="11"/>
      <c r="E559" s="11"/>
      <c r="F559" s="3">
        <f>IF(B559="","",MAX(0,D559-E559))</f>
      </c>
      <c r="G559" s="11"/>
      <c r="H559" s="3">
        <f>IF(B559="","",IF(C559="","כן","לא"))</f>
      </c>
      <c r="I559" s="3">
        <f>IF(B559="","",IF(D559=0,"כן","לא"))</f>
      </c>
      <c r="J559" s="3">
        <f>IF(B559="","",IF(F559&gt;0,"כן","לא"))</f>
      </c>
    </row>
    <row r="560" spans="1:10" x14ac:dyDescent="0.25">
      <c r="A560" s="11"/>
      <c r="B560" s="11"/>
      <c r="C560" s="11"/>
      <c r="D560" s="11"/>
      <c r="E560" s="11"/>
      <c r="F560" s="3">
        <f>IF(B560="","",MAX(0,D560-E560))</f>
      </c>
      <c r="G560" s="11"/>
      <c r="H560" s="3">
        <f>IF(B560="","",IF(C560="","כן","לא"))</f>
      </c>
      <c r="I560" s="3">
        <f>IF(B560="","",IF(D560=0,"כן","לא"))</f>
      </c>
      <c r="J560" s="3">
        <f>IF(B560="","",IF(F560&gt;0,"כן","לא"))</f>
      </c>
    </row>
    <row r="561" spans="1:10" x14ac:dyDescent="0.25">
      <c r="A561" s="11"/>
      <c r="B561" s="11"/>
      <c r="C561" s="11"/>
      <c r="D561" s="11"/>
      <c r="E561" s="11"/>
      <c r="F561" s="3">
        <f>IF(B561="","",MAX(0,D561-E561))</f>
      </c>
      <c r="G561" s="11"/>
      <c r="H561" s="3">
        <f>IF(B561="","",IF(C561="","כן","לא"))</f>
      </c>
      <c r="I561" s="3">
        <f>IF(B561="","",IF(D561=0,"כן","לא"))</f>
      </c>
      <c r="J561" s="3">
        <f>IF(B561="","",IF(F561&gt;0,"כן","לא"))</f>
      </c>
    </row>
    <row r="562" spans="1:10" x14ac:dyDescent="0.25">
      <c r="A562" s="11"/>
      <c r="B562" s="11"/>
      <c r="C562" s="11"/>
      <c r="D562" s="11"/>
      <c r="E562" s="11"/>
      <c r="F562" s="3">
        <f>IF(B562="","",MAX(0,D562-E562))</f>
      </c>
      <c r="G562" s="11"/>
      <c r="H562" s="3">
        <f>IF(B562="","",IF(C562="","כן","לא"))</f>
      </c>
      <c r="I562" s="3">
        <f>IF(B562="","",IF(D562=0,"כן","לא"))</f>
      </c>
      <c r="J562" s="3">
        <f>IF(B562="","",IF(F562&gt;0,"כן","לא"))</f>
      </c>
    </row>
    <row r="563" spans="1:10" x14ac:dyDescent="0.25">
      <c r="A563" s="11"/>
      <c r="B563" s="11"/>
      <c r="C563" s="11"/>
      <c r="D563" s="11"/>
      <c r="E563" s="11"/>
      <c r="F563" s="3">
        <f>IF(B563="","",MAX(0,D563-E563))</f>
      </c>
      <c r="G563" s="11"/>
      <c r="H563" s="3">
        <f>IF(B563="","",IF(C563="","כן","לא"))</f>
      </c>
      <c r="I563" s="3">
        <f>IF(B563="","",IF(D563=0,"כן","לא"))</f>
      </c>
      <c r="J563" s="3">
        <f>IF(B563="","",IF(F563&gt;0,"כן","לא"))</f>
      </c>
    </row>
    <row r="564" spans="1:10" x14ac:dyDescent="0.25">
      <c r="A564" s="11"/>
      <c r="B564" s="11"/>
      <c r="C564" s="11"/>
      <c r="D564" s="11"/>
      <c r="E564" s="11"/>
      <c r="F564" s="3">
        <f>IF(B564="","",MAX(0,D564-E564))</f>
      </c>
      <c r="G564" s="11"/>
      <c r="H564" s="3">
        <f>IF(B564="","",IF(C564="","כן","לא"))</f>
      </c>
      <c r="I564" s="3">
        <f>IF(B564="","",IF(D564=0,"כן","לא"))</f>
      </c>
      <c r="J564" s="3">
        <f>IF(B564="","",IF(F564&gt;0,"כן","לא"))</f>
      </c>
    </row>
    <row r="565" spans="1:10" x14ac:dyDescent="0.25">
      <c r="A565" s="11"/>
      <c r="B565" s="11"/>
      <c r="C565" s="11"/>
      <c r="D565" s="11"/>
      <c r="E565" s="11"/>
      <c r="F565" s="3">
        <f>IF(B565="","",MAX(0,D565-E565))</f>
      </c>
      <c r="G565" s="11"/>
      <c r="H565" s="3">
        <f>IF(B565="","",IF(C565="","כן","לא"))</f>
      </c>
      <c r="I565" s="3">
        <f>IF(B565="","",IF(D565=0,"כן","לא"))</f>
      </c>
      <c r="J565" s="3">
        <f>IF(B565="","",IF(F565&gt;0,"כן","לא"))</f>
      </c>
    </row>
    <row r="566" spans="1:10" x14ac:dyDescent="0.25">
      <c r="A566" s="11"/>
      <c r="B566" s="11"/>
      <c r="C566" s="11"/>
      <c r="D566" s="11"/>
      <c r="E566" s="11"/>
      <c r="F566" s="3">
        <f>IF(B566="","",MAX(0,D566-E566))</f>
      </c>
      <c r="G566" s="11"/>
      <c r="H566" s="3">
        <f>IF(B566="","",IF(C566="","כן","לא"))</f>
      </c>
      <c r="I566" s="3">
        <f>IF(B566="","",IF(D566=0,"כן","לא"))</f>
      </c>
      <c r="J566" s="3">
        <f>IF(B566="","",IF(F566&gt;0,"כן","לא"))</f>
      </c>
    </row>
    <row r="567" spans="1:10" x14ac:dyDescent="0.25">
      <c r="A567" s="11"/>
      <c r="B567" s="11"/>
      <c r="C567" s="11"/>
      <c r="D567" s="11"/>
      <c r="E567" s="11"/>
      <c r="F567" s="3">
        <f>IF(B567="","",MAX(0,D567-E567))</f>
      </c>
      <c r="G567" s="11"/>
      <c r="H567" s="3">
        <f>IF(B567="","",IF(C567="","כן","לא"))</f>
      </c>
      <c r="I567" s="3">
        <f>IF(B567="","",IF(D567=0,"כן","לא"))</f>
      </c>
      <c r="J567" s="3">
        <f>IF(B567="","",IF(F567&gt;0,"כן","לא"))</f>
      </c>
    </row>
    <row r="568" spans="1:10" x14ac:dyDescent="0.25">
      <c r="A568" s="11"/>
      <c r="B568" s="11"/>
      <c r="C568" s="11"/>
      <c r="D568" s="11"/>
      <c r="E568" s="11"/>
      <c r="F568" s="3">
        <f>IF(B568="","",MAX(0,D568-E568))</f>
      </c>
      <c r="G568" s="11"/>
      <c r="H568" s="3">
        <f>IF(B568="","",IF(C568="","כן","לא"))</f>
      </c>
      <c r="I568" s="3">
        <f>IF(B568="","",IF(D568=0,"כן","לא"))</f>
      </c>
      <c r="J568" s="3">
        <f>IF(B568="","",IF(F568&gt;0,"כן","לא"))</f>
      </c>
    </row>
    <row r="569" spans="1:10" x14ac:dyDescent="0.25">
      <c r="A569" s="11"/>
      <c r="B569" s="11"/>
      <c r="C569" s="11"/>
      <c r="D569" s="11"/>
      <c r="E569" s="11"/>
      <c r="F569" s="3">
        <f>IF(B569="","",MAX(0,D569-E569))</f>
      </c>
      <c r="G569" s="11"/>
      <c r="H569" s="3">
        <f>IF(B569="","",IF(C569="","כן","לא"))</f>
      </c>
      <c r="I569" s="3">
        <f>IF(B569="","",IF(D569=0,"כן","לא"))</f>
      </c>
      <c r="J569" s="3">
        <f>IF(B569="","",IF(F569&gt;0,"כן","לא"))</f>
      </c>
    </row>
    <row r="570" spans="1:10" x14ac:dyDescent="0.25">
      <c r="A570" s="11"/>
      <c r="B570" s="11"/>
      <c r="C570" s="11"/>
      <c r="D570" s="11"/>
      <c r="E570" s="11"/>
      <c r="F570" s="3">
        <f>IF(B570="","",MAX(0,D570-E570))</f>
      </c>
      <c r="G570" s="11"/>
      <c r="H570" s="3">
        <f>IF(B570="","",IF(C570="","כן","לא"))</f>
      </c>
      <c r="I570" s="3">
        <f>IF(B570="","",IF(D570=0,"כן","לא"))</f>
      </c>
      <c r="J570" s="3">
        <f>IF(B570="","",IF(F570&gt;0,"כן","לא"))</f>
      </c>
    </row>
    <row r="571" spans="1:10" x14ac:dyDescent="0.25">
      <c r="A571" s="11"/>
      <c r="B571" s="11"/>
      <c r="C571" s="11"/>
      <c r="D571" s="11"/>
      <c r="E571" s="11"/>
      <c r="F571" s="3">
        <f>IF(B571="","",MAX(0,D571-E571))</f>
      </c>
      <c r="G571" s="11"/>
      <c r="H571" s="3">
        <f>IF(B571="","",IF(C571="","כן","לא"))</f>
      </c>
      <c r="I571" s="3">
        <f>IF(B571="","",IF(D571=0,"כן","לא"))</f>
      </c>
      <c r="J571" s="3">
        <f>IF(B571="","",IF(F571&gt;0,"כן","לא"))</f>
      </c>
    </row>
    <row r="572" spans="1:10" x14ac:dyDescent="0.25">
      <c r="A572" s="11"/>
      <c r="B572" s="11"/>
      <c r="C572" s="11"/>
      <c r="D572" s="11"/>
      <c r="E572" s="11"/>
      <c r="F572" s="3">
        <f>IF(B572="","",MAX(0,D572-E572))</f>
      </c>
      <c r="G572" s="11"/>
      <c r="H572" s="3">
        <f>IF(B572="","",IF(C572="","כן","לא"))</f>
      </c>
      <c r="I572" s="3">
        <f>IF(B572="","",IF(D572=0,"כן","לא"))</f>
      </c>
      <c r="J572" s="3">
        <f>IF(B572="","",IF(F572&gt;0,"כן","לא"))</f>
      </c>
    </row>
    <row r="573" spans="1:10" x14ac:dyDescent="0.25">
      <c r="A573" s="11"/>
      <c r="B573" s="11"/>
      <c r="C573" s="11"/>
      <c r="D573" s="11"/>
      <c r="E573" s="11"/>
      <c r="F573" s="3">
        <f>IF(B573="","",MAX(0,D573-E573))</f>
      </c>
      <c r="G573" s="11"/>
      <c r="H573" s="3">
        <f>IF(B573="","",IF(C573="","כן","לא"))</f>
      </c>
      <c r="I573" s="3">
        <f>IF(B573="","",IF(D573=0,"כן","לא"))</f>
      </c>
      <c r="J573" s="3">
        <f>IF(B573="","",IF(F573&gt;0,"כן","לא"))</f>
      </c>
    </row>
    <row r="574" spans="1:10" x14ac:dyDescent="0.25">
      <c r="A574" s="11"/>
      <c r="B574" s="11"/>
      <c r="C574" s="11"/>
      <c r="D574" s="11"/>
      <c r="E574" s="11"/>
      <c r="F574" s="3">
        <f>IF(B574="","",MAX(0,D574-E574))</f>
      </c>
      <c r="G574" s="11"/>
      <c r="H574" s="3">
        <f>IF(B574="","",IF(C574="","כן","לא"))</f>
      </c>
      <c r="I574" s="3">
        <f>IF(B574="","",IF(D574=0,"כן","לא"))</f>
      </c>
      <c r="J574" s="3">
        <f>IF(B574="","",IF(F574&gt;0,"כן","לא"))</f>
      </c>
    </row>
    <row r="575" spans="1:10" x14ac:dyDescent="0.25">
      <c r="A575" s="11"/>
      <c r="B575" s="11"/>
      <c r="C575" s="11"/>
      <c r="D575" s="11"/>
      <c r="E575" s="11"/>
      <c r="F575" s="3">
        <f>IF(B575="","",MAX(0,D575-E575))</f>
      </c>
      <c r="G575" s="11"/>
      <c r="H575" s="3">
        <f>IF(B575="","",IF(C575="","כן","לא"))</f>
      </c>
      <c r="I575" s="3">
        <f>IF(B575="","",IF(D575=0,"כן","לא"))</f>
      </c>
      <c r="J575" s="3">
        <f>IF(B575="","",IF(F575&gt;0,"כן","לא"))</f>
      </c>
    </row>
    <row r="576" spans="1:10" x14ac:dyDescent="0.25">
      <c r="A576" s="11"/>
      <c r="B576" s="11"/>
      <c r="C576" s="11"/>
      <c r="D576" s="11"/>
      <c r="E576" s="11"/>
      <c r="F576" s="3">
        <f>IF(B576="","",MAX(0,D576-E576))</f>
      </c>
      <c r="G576" s="11"/>
      <c r="H576" s="3">
        <f>IF(B576="","",IF(C576="","כן","לא"))</f>
      </c>
      <c r="I576" s="3">
        <f>IF(B576="","",IF(D576=0,"כן","לא"))</f>
      </c>
      <c r="J576" s="3">
        <f>IF(B576="","",IF(F576&gt;0,"כן","לא"))</f>
      </c>
    </row>
    <row r="577" spans="1:10" x14ac:dyDescent="0.25">
      <c r="A577" s="11"/>
      <c r="B577" s="11"/>
      <c r="C577" s="11"/>
      <c r="D577" s="11"/>
      <c r="E577" s="11"/>
      <c r="F577" s="3">
        <f>IF(B577="","",MAX(0,D577-E577))</f>
      </c>
      <c r="G577" s="11"/>
      <c r="H577" s="3">
        <f>IF(B577="","",IF(C577="","כן","לא"))</f>
      </c>
      <c r="I577" s="3">
        <f>IF(B577="","",IF(D577=0,"כן","לא"))</f>
      </c>
      <c r="J577" s="3">
        <f>IF(B577="","",IF(F577&gt;0,"כן","לא"))</f>
      </c>
    </row>
    <row r="578" spans="1:10" x14ac:dyDescent="0.25">
      <c r="A578" s="11"/>
      <c r="B578" s="11"/>
      <c r="C578" s="11"/>
      <c r="D578" s="11"/>
      <c r="E578" s="11"/>
      <c r="F578" s="3">
        <f>IF(B578="","",MAX(0,D578-E578))</f>
      </c>
      <c r="G578" s="11"/>
      <c r="H578" s="3">
        <f>IF(B578="","",IF(C578="","כן","לא"))</f>
      </c>
      <c r="I578" s="3">
        <f>IF(B578="","",IF(D578=0,"כן","לא"))</f>
      </c>
      <c r="J578" s="3">
        <f>IF(B578="","",IF(F578&gt;0,"כן","לא"))</f>
      </c>
    </row>
    <row r="579" spans="1:10" x14ac:dyDescent="0.25">
      <c r="A579" s="11"/>
      <c r="B579" s="11"/>
      <c r="C579" s="11"/>
      <c r="D579" s="11"/>
      <c r="E579" s="11"/>
      <c r="F579" s="3">
        <f>IF(B579="","",MAX(0,D579-E579))</f>
      </c>
      <c r="G579" s="11"/>
      <c r="H579" s="3">
        <f>IF(B579="","",IF(C579="","כן","לא"))</f>
      </c>
      <c r="I579" s="3">
        <f>IF(B579="","",IF(D579=0,"כן","לא"))</f>
      </c>
      <c r="J579" s="3">
        <f>IF(B579="","",IF(F579&gt;0,"כן","לא"))</f>
      </c>
    </row>
    <row r="580" spans="1:10" x14ac:dyDescent="0.25">
      <c r="A580" s="11"/>
      <c r="B580" s="11"/>
      <c r="C580" s="11"/>
      <c r="D580" s="11"/>
      <c r="E580" s="11"/>
      <c r="F580" s="3">
        <f>IF(B580="","",MAX(0,D580-E580))</f>
      </c>
      <c r="G580" s="11"/>
      <c r="H580" s="3">
        <f>IF(B580="","",IF(C580="","כן","לא"))</f>
      </c>
      <c r="I580" s="3">
        <f>IF(B580="","",IF(D580=0,"כן","לא"))</f>
      </c>
      <c r="J580" s="3">
        <f>IF(B580="","",IF(F580&gt;0,"כן","לא"))</f>
      </c>
    </row>
    <row r="581" spans="1:10" x14ac:dyDescent="0.25">
      <c r="A581" s="11"/>
      <c r="B581" s="11"/>
      <c r="C581" s="11"/>
      <c r="D581" s="11"/>
      <c r="E581" s="11"/>
      <c r="F581" s="3">
        <f>IF(B581="","",MAX(0,D581-E581))</f>
      </c>
      <c r="G581" s="11"/>
      <c r="H581" s="3">
        <f>IF(B581="","",IF(C581="","כן","לא"))</f>
      </c>
      <c r="I581" s="3">
        <f>IF(B581="","",IF(D581=0,"כן","לא"))</f>
      </c>
      <c r="J581" s="3">
        <f>IF(B581="","",IF(F581&gt;0,"כן","לא"))</f>
      </c>
    </row>
    <row r="582" spans="1:10" x14ac:dyDescent="0.25">
      <c r="A582" s="11"/>
      <c r="B582" s="11"/>
      <c r="C582" s="11"/>
      <c r="D582" s="11"/>
      <c r="E582" s="11"/>
      <c r="F582" s="3">
        <f>IF(B582="","",MAX(0,D582-E582))</f>
      </c>
      <c r="G582" s="11"/>
      <c r="H582" s="3">
        <f>IF(B582="","",IF(C582="","כן","לא"))</f>
      </c>
      <c r="I582" s="3">
        <f>IF(B582="","",IF(D582=0,"כן","לא"))</f>
      </c>
      <c r="J582" s="3">
        <f>IF(B582="","",IF(F582&gt;0,"כן","לא"))</f>
      </c>
    </row>
    <row r="583" spans="1:10" x14ac:dyDescent="0.25">
      <c r="A583" s="11"/>
      <c r="B583" s="11"/>
      <c r="C583" s="11"/>
      <c r="D583" s="11"/>
      <c r="E583" s="11"/>
      <c r="F583" s="3">
        <f>IF(B583="","",MAX(0,D583-E583))</f>
      </c>
      <c r="G583" s="11"/>
      <c r="H583" s="3">
        <f>IF(B583="","",IF(C583="","כן","לא"))</f>
      </c>
      <c r="I583" s="3">
        <f>IF(B583="","",IF(D583=0,"כן","לא"))</f>
      </c>
      <c r="J583" s="3">
        <f>IF(B583="","",IF(F583&gt;0,"כן","לא"))</f>
      </c>
    </row>
    <row r="584" spans="1:10" x14ac:dyDescent="0.25">
      <c r="A584" s="11"/>
      <c r="B584" s="11"/>
      <c r="C584" s="11"/>
      <c r="D584" s="11"/>
      <c r="E584" s="11"/>
      <c r="F584" s="3">
        <f>IF(B584="","",MAX(0,D584-E584))</f>
      </c>
      <c r="G584" s="11"/>
      <c r="H584" s="3">
        <f>IF(B584="","",IF(C584="","כן","לא"))</f>
      </c>
      <c r="I584" s="3">
        <f>IF(B584="","",IF(D584=0,"כן","לא"))</f>
      </c>
      <c r="J584" s="3">
        <f>IF(B584="","",IF(F584&gt;0,"כן","לא"))</f>
      </c>
    </row>
    <row r="585" spans="1:10" x14ac:dyDescent="0.25">
      <c r="A585" s="11"/>
      <c r="B585" s="11"/>
      <c r="C585" s="11"/>
      <c r="D585" s="11"/>
      <c r="E585" s="11"/>
      <c r="F585" s="3">
        <f>IF(B585="","",MAX(0,D585-E585))</f>
      </c>
      <c r="G585" s="11"/>
      <c r="H585" s="3">
        <f>IF(B585="","",IF(C585="","כן","לא"))</f>
      </c>
      <c r="I585" s="3">
        <f>IF(B585="","",IF(D585=0,"כן","לא"))</f>
      </c>
      <c r="J585" s="3">
        <f>IF(B585="","",IF(F585&gt;0,"כן","לא"))</f>
      </c>
    </row>
    <row r="586" spans="1:10" x14ac:dyDescent="0.25">
      <c r="A586" s="11"/>
      <c r="B586" s="11"/>
      <c r="C586" s="11"/>
      <c r="D586" s="11"/>
      <c r="E586" s="11"/>
      <c r="F586" s="3">
        <f>IF(B586="","",MAX(0,D586-E586))</f>
      </c>
      <c r="G586" s="11"/>
      <c r="H586" s="3">
        <f>IF(B586="","",IF(C586="","כן","לא"))</f>
      </c>
      <c r="I586" s="3">
        <f>IF(B586="","",IF(D586=0,"כן","לא"))</f>
      </c>
      <c r="J586" s="3">
        <f>IF(B586="","",IF(F586&gt;0,"כן","לא"))</f>
      </c>
    </row>
    <row r="587" spans="1:10" x14ac:dyDescent="0.25">
      <c r="A587" s="11"/>
      <c r="B587" s="11"/>
      <c r="C587" s="11"/>
      <c r="D587" s="11"/>
      <c r="E587" s="11"/>
      <c r="F587" s="3">
        <f>IF(B587="","",MAX(0,D587-E587))</f>
      </c>
      <c r="G587" s="11"/>
      <c r="H587" s="3">
        <f>IF(B587="","",IF(C587="","כן","לא"))</f>
      </c>
      <c r="I587" s="3">
        <f>IF(B587="","",IF(D587=0,"כן","לא"))</f>
      </c>
      <c r="J587" s="3">
        <f>IF(B587="","",IF(F587&gt;0,"כן","לא"))</f>
      </c>
    </row>
    <row r="588" spans="1:10" x14ac:dyDescent="0.25">
      <c r="A588" s="11"/>
      <c r="B588" s="11"/>
      <c r="C588" s="11"/>
      <c r="D588" s="11"/>
      <c r="E588" s="11"/>
      <c r="F588" s="3">
        <f>IF(B588="","",MAX(0,D588-E588))</f>
      </c>
      <c r="G588" s="11"/>
      <c r="H588" s="3">
        <f>IF(B588="","",IF(C588="","כן","לא"))</f>
      </c>
      <c r="I588" s="3">
        <f>IF(B588="","",IF(D588=0,"כן","לא"))</f>
      </c>
      <c r="J588" s="3">
        <f>IF(B588="","",IF(F588&gt;0,"כן","לא"))</f>
      </c>
    </row>
    <row r="589" spans="1:10" x14ac:dyDescent="0.25">
      <c r="A589" s="11"/>
      <c r="B589" s="11"/>
      <c r="C589" s="11"/>
      <c r="D589" s="11"/>
      <c r="E589" s="11"/>
      <c r="F589" s="3">
        <f>IF(B589="","",MAX(0,D589-E589))</f>
      </c>
      <c r="G589" s="11"/>
      <c r="H589" s="3">
        <f>IF(B589="","",IF(C589="","כן","לא"))</f>
      </c>
      <c r="I589" s="3">
        <f>IF(B589="","",IF(D589=0,"כן","לא"))</f>
      </c>
      <c r="J589" s="3">
        <f>IF(B589="","",IF(F589&gt;0,"כן","לא"))</f>
      </c>
    </row>
    <row r="590" spans="1:10" x14ac:dyDescent="0.25">
      <c r="A590" s="11"/>
      <c r="B590" s="11"/>
      <c r="C590" s="11"/>
      <c r="D590" s="11"/>
      <c r="E590" s="11"/>
      <c r="F590" s="3">
        <f>IF(B590="","",MAX(0,D590-E590))</f>
      </c>
      <c r="G590" s="11"/>
      <c r="H590" s="3">
        <f>IF(B590="","",IF(C590="","כן","לא"))</f>
      </c>
      <c r="I590" s="3">
        <f>IF(B590="","",IF(D590=0,"כן","לא"))</f>
      </c>
      <c r="J590" s="3">
        <f>IF(B590="","",IF(F590&gt;0,"כן","לא"))</f>
      </c>
    </row>
    <row r="591" spans="1:10" x14ac:dyDescent="0.25">
      <c r="A591" s="11"/>
      <c r="B591" s="11"/>
      <c r="C591" s="11"/>
      <c r="D591" s="11"/>
      <c r="E591" s="11"/>
      <c r="F591" s="3">
        <f>IF(B591="","",MAX(0,D591-E591))</f>
      </c>
      <c r="G591" s="11"/>
      <c r="H591" s="3">
        <f>IF(B591="","",IF(C591="","כן","לא"))</f>
      </c>
      <c r="I591" s="3">
        <f>IF(B591="","",IF(D591=0,"כן","לא"))</f>
      </c>
      <c r="J591" s="3">
        <f>IF(B591="","",IF(F591&gt;0,"כן","לא"))</f>
      </c>
    </row>
    <row r="592" spans="1:10" x14ac:dyDescent="0.25">
      <c r="A592" s="11"/>
      <c r="B592" s="11"/>
      <c r="C592" s="11"/>
      <c r="D592" s="11"/>
      <c r="E592" s="11"/>
      <c r="F592" s="3">
        <f>IF(B592="","",MAX(0,D592-E592))</f>
      </c>
      <c r="G592" s="11"/>
      <c r="H592" s="3">
        <f>IF(B592="","",IF(C592="","כן","לא"))</f>
      </c>
      <c r="I592" s="3">
        <f>IF(B592="","",IF(D592=0,"כן","לא"))</f>
      </c>
      <c r="J592" s="3">
        <f>IF(B592="","",IF(F592&gt;0,"כן","לא"))</f>
      </c>
    </row>
    <row r="593" spans="1:10" x14ac:dyDescent="0.25">
      <c r="A593" s="11"/>
      <c r="B593" s="11"/>
      <c r="C593" s="11"/>
      <c r="D593" s="11"/>
      <c r="E593" s="11"/>
      <c r="F593" s="3">
        <f>IF(B593="","",MAX(0,D593-E593))</f>
      </c>
      <c r="G593" s="11"/>
      <c r="H593" s="3">
        <f>IF(B593="","",IF(C593="","כן","לא"))</f>
      </c>
      <c r="I593" s="3">
        <f>IF(B593="","",IF(D593=0,"כן","לא"))</f>
      </c>
      <c r="J593" s="3">
        <f>IF(B593="","",IF(F593&gt;0,"כן","לא"))</f>
      </c>
    </row>
    <row r="594" spans="1:10" x14ac:dyDescent="0.25">
      <c r="A594" s="11"/>
      <c r="B594" s="11"/>
      <c r="C594" s="11"/>
      <c r="D594" s="11"/>
      <c r="E594" s="11"/>
      <c r="F594" s="3">
        <f>IF(B594="","",MAX(0,D594-E594))</f>
      </c>
      <c r="G594" s="11"/>
      <c r="H594" s="3">
        <f>IF(B594="","",IF(C594="","כן","לא"))</f>
      </c>
      <c r="I594" s="3">
        <f>IF(B594="","",IF(D594=0,"כן","לא"))</f>
      </c>
      <c r="J594" s="3">
        <f>IF(B594="","",IF(F594&gt;0,"כן","לא"))</f>
      </c>
    </row>
    <row r="595" spans="1:10" x14ac:dyDescent="0.25">
      <c r="A595" s="11"/>
      <c r="B595" s="11"/>
      <c r="C595" s="11"/>
      <c r="D595" s="11"/>
      <c r="E595" s="11"/>
      <c r="F595" s="3">
        <f>IF(B595="","",MAX(0,D595-E595))</f>
      </c>
      <c r="G595" s="11"/>
      <c r="H595" s="3">
        <f>IF(B595="","",IF(C595="","כן","לא"))</f>
      </c>
      <c r="I595" s="3">
        <f>IF(B595="","",IF(D595=0,"כן","לא"))</f>
      </c>
      <c r="J595" s="3">
        <f>IF(B595="","",IF(F595&gt;0,"כן","לא"))</f>
      </c>
    </row>
    <row r="596" spans="1:10" x14ac:dyDescent="0.25">
      <c r="A596" s="11"/>
      <c r="B596" s="11"/>
      <c r="C596" s="11"/>
      <c r="D596" s="11"/>
      <c r="E596" s="11"/>
      <c r="F596" s="3">
        <f>IF(B596="","",MAX(0,D596-E596))</f>
      </c>
      <c r="G596" s="11"/>
      <c r="H596" s="3">
        <f>IF(B596="","",IF(C596="","כן","לא"))</f>
      </c>
      <c r="I596" s="3">
        <f>IF(B596="","",IF(D596=0,"כן","לא"))</f>
      </c>
      <c r="J596" s="3">
        <f>IF(B596="","",IF(F596&gt;0,"כן","לא"))</f>
      </c>
    </row>
    <row r="597" spans="1:10" x14ac:dyDescent="0.25">
      <c r="A597" s="11"/>
      <c r="B597" s="11"/>
      <c r="C597" s="11"/>
      <c r="D597" s="11"/>
      <c r="E597" s="11"/>
      <c r="F597" s="3">
        <f>IF(B597="","",MAX(0,D597-E597))</f>
      </c>
      <c r="G597" s="11"/>
      <c r="H597" s="3">
        <f>IF(B597="","",IF(C597="","כן","לא"))</f>
      </c>
      <c r="I597" s="3">
        <f>IF(B597="","",IF(D597=0,"כן","לא"))</f>
      </c>
      <c r="J597" s="3">
        <f>IF(B597="","",IF(F597&gt;0,"כן","לא"))</f>
      </c>
    </row>
    <row r="598" spans="1:10" x14ac:dyDescent="0.25">
      <c r="A598" s="11"/>
      <c r="B598" s="11"/>
      <c r="C598" s="11"/>
      <c r="D598" s="11"/>
      <c r="E598" s="11"/>
      <c r="F598" s="3">
        <f>IF(B598="","",MAX(0,D598-E598))</f>
      </c>
      <c r="G598" s="11"/>
      <c r="H598" s="3">
        <f>IF(B598="","",IF(C598="","כן","לא"))</f>
      </c>
      <c r="I598" s="3">
        <f>IF(B598="","",IF(D598=0,"כן","לא"))</f>
      </c>
      <c r="J598" s="3">
        <f>IF(B598="","",IF(F598&gt;0,"כן","לא"))</f>
      </c>
    </row>
    <row r="599" spans="1:10" x14ac:dyDescent="0.25">
      <c r="A599" s="11"/>
      <c r="B599" s="11"/>
      <c r="C599" s="11"/>
      <c r="D599" s="11"/>
      <c r="E599" s="11"/>
      <c r="F599" s="3">
        <f>IF(B599="","",MAX(0,D599-E599))</f>
      </c>
      <c r="G599" s="11"/>
      <c r="H599" s="3">
        <f>IF(B599="","",IF(C599="","כן","לא"))</f>
      </c>
      <c r="I599" s="3">
        <f>IF(B599="","",IF(D599=0,"כן","לא"))</f>
      </c>
      <c r="J599" s="3">
        <f>IF(B599="","",IF(F599&gt;0,"כן","לא"))</f>
      </c>
    </row>
    <row r="600" spans="1:10" x14ac:dyDescent="0.25">
      <c r="A600" s="11"/>
      <c r="B600" s="11"/>
      <c r="C600" s="11"/>
      <c r="D600" s="11"/>
      <c r="E600" s="11"/>
      <c r="F600" s="3">
        <f>IF(B600="","",MAX(0,D600-E600))</f>
      </c>
      <c r="G600" s="11"/>
      <c r="H600" s="3">
        <f>IF(B600="","",IF(C600="","כן","לא"))</f>
      </c>
      <c r="I600" s="3">
        <f>IF(B600="","",IF(D600=0,"כן","לא"))</f>
      </c>
      <c r="J600" s="3">
        <f>IF(B600="","",IF(F600&gt;0,"כן","לא"))</f>
      </c>
    </row>
    <row r="601" spans="1:10" x14ac:dyDescent="0.25">
      <c r="A601" s="11"/>
      <c r="B601" s="11"/>
      <c r="C601" s="11"/>
      <c r="D601" s="11"/>
      <c r="E601" s="11"/>
      <c r="F601" s="3">
        <f>IF(B601="","",MAX(0,D601-E601))</f>
      </c>
      <c r="G601" s="11"/>
      <c r="H601" s="3">
        <f>IF(B601="","",IF(C601="","כן","לא"))</f>
      </c>
      <c r="I601" s="3">
        <f>IF(B601="","",IF(D601=0,"כן","לא"))</f>
      </c>
      <c r="J601" s="3">
        <f>IF(B601="","",IF(F601&gt;0,"כן","לא"))</f>
      </c>
    </row>
    <row r="602" spans="1:10" x14ac:dyDescent="0.25">
      <c r="A602" s="11"/>
      <c r="B602" s="11"/>
      <c r="C602" s="11"/>
      <c r="D602" s="11"/>
      <c r="E602" s="11"/>
      <c r="F602" s="3">
        <f>IF(B602="","",MAX(0,D602-E602))</f>
      </c>
      <c r="G602" s="11"/>
      <c r="H602" s="3">
        <f>IF(B602="","",IF(C602="","כן","לא"))</f>
      </c>
      <c r="I602" s="3">
        <f>IF(B602="","",IF(D602=0,"כן","לא"))</f>
      </c>
      <c r="J602" s="3">
        <f>IF(B602="","",IF(F602&gt;0,"כן","לא"))</f>
      </c>
    </row>
    <row r="603" spans="1:10" x14ac:dyDescent="0.25">
      <c r="A603" s="11"/>
      <c r="B603" s="11"/>
      <c r="C603" s="11"/>
      <c r="D603" s="11"/>
      <c r="E603" s="11"/>
      <c r="F603" s="3">
        <f>IF(B603="","",MAX(0,D603-E603))</f>
      </c>
      <c r="G603" s="11"/>
      <c r="H603" s="3">
        <f>IF(B603="","",IF(C603="","כן","לא"))</f>
      </c>
      <c r="I603" s="3">
        <f>IF(B603="","",IF(D603=0,"כן","לא"))</f>
      </c>
      <c r="J603" s="3">
        <f>IF(B603="","",IF(F603&gt;0,"כן","לא"))</f>
      </c>
    </row>
    <row r="604" spans="1:10" x14ac:dyDescent="0.25">
      <c r="A604" s="11"/>
      <c r="B604" s="11"/>
      <c r="C604" s="11"/>
      <c r="D604" s="11"/>
      <c r="E604" s="11"/>
      <c r="F604" s="3">
        <f>IF(B604="","",MAX(0,D604-E604))</f>
      </c>
      <c r="G604" s="11"/>
      <c r="H604" s="3">
        <f>IF(B604="","",IF(C604="","כן","לא"))</f>
      </c>
      <c r="I604" s="3">
        <f>IF(B604="","",IF(D604=0,"כן","לא"))</f>
      </c>
      <c r="J604" s="3">
        <f>IF(B604="","",IF(F604&gt;0,"כן","לא"))</f>
      </c>
    </row>
    <row r="605" spans="1:10" x14ac:dyDescent="0.25">
      <c r="A605" s="11"/>
      <c r="B605" s="11"/>
      <c r="C605" s="11"/>
      <c r="D605" s="11"/>
      <c r="E605" s="11"/>
      <c r="F605" s="3">
        <f>IF(B605="","",MAX(0,D605-E605))</f>
      </c>
      <c r="G605" s="11"/>
      <c r="H605" s="3">
        <f>IF(B605="","",IF(C605="","כן","לא"))</f>
      </c>
      <c r="I605" s="3">
        <f>IF(B605="","",IF(D605=0,"כן","לא"))</f>
      </c>
      <c r="J605" s="3">
        <f>IF(B605="","",IF(F605&gt;0,"כן","לא"))</f>
      </c>
    </row>
    <row r="606" spans="1:10" x14ac:dyDescent="0.25">
      <c r="A606" s="11"/>
      <c r="B606" s="11"/>
      <c r="C606" s="11"/>
      <c r="D606" s="11"/>
      <c r="E606" s="11"/>
      <c r="F606" s="3">
        <f>IF(B606="","",MAX(0,D606-E606))</f>
      </c>
      <c r="G606" s="11"/>
      <c r="H606" s="3">
        <f>IF(B606="","",IF(C606="","כן","לא"))</f>
      </c>
      <c r="I606" s="3">
        <f>IF(B606="","",IF(D606=0,"כן","לא"))</f>
      </c>
      <c r="J606" s="3">
        <f>IF(B606="","",IF(F606&gt;0,"כן","לא"))</f>
      </c>
    </row>
    <row r="607" spans="1:10" x14ac:dyDescent="0.25">
      <c r="A607" s="11"/>
      <c r="B607" s="11"/>
      <c r="C607" s="11"/>
      <c r="D607" s="11"/>
      <c r="E607" s="11"/>
      <c r="F607" s="3">
        <f>IF(B607="","",MAX(0,D607-E607))</f>
      </c>
      <c r="G607" s="11"/>
      <c r="H607" s="3">
        <f>IF(B607="","",IF(C607="","כן","לא"))</f>
      </c>
      <c r="I607" s="3">
        <f>IF(B607="","",IF(D607=0,"כן","לא"))</f>
      </c>
      <c r="J607" s="3">
        <f>IF(B607="","",IF(F607&gt;0,"כן","לא"))</f>
      </c>
    </row>
    <row r="608" spans="1:10" x14ac:dyDescent="0.25">
      <c r="A608" s="11"/>
      <c r="B608" s="11"/>
      <c r="C608" s="11"/>
      <c r="D608" s="11"/>
      <c r="E608" s="11"/>
      <c r="F608" s="3">
        <f>IF(B608="","",MAX(0,D608-E608))</f>
      </c>
      <c r="G608" s="11"/>
      <c r="H608" s="3">
        <f>IF(B608="","",IF(C608="","כן","לא"))</f>
      </c>
      <c r="I608" s="3">
        <f>IF(B608="","",IF(D608=0,"כן","לא"))</f>
      </c>
      <c r="J608" s="3">
        <f>IF(B608="","",IF(F608&gt;0,"כן","לא"))</f>
      </c>
    </row>
    <row r="609" spans="1:10" x14ac:dyDescent="0.25">
      <c r="A609" s="11"/>
      <c r="B609" s="11"/>
      <c r="C609" s="11"/>
      <c r="D609" s="11"/>
      <c r="E609" s="11"/>
      <c r="F609" s="3">
        <f>IF(B609="","",MAX(0,D609-E609))</f>
      </c>
      <c r="G609" s="11"/>
      <c r="H609" s="3">
        <f>IF(B609="","",IF(C609="","כן","לא"))</f>
      </c>
      <c r="I609" s="3">
        <f>IF(B609="","",IF(D609=0,"כן","לא"))</f>
      </c>
      <c r="J609" s="3">
        <f>IF(B609="","",IF(F609&gt;0,"כן","לא"))</f>
      </c>
    </row>
    <row r="610" spans="1:10" x14ac:dyDescent="0.25">
      <c r="A610" s="11"/>
      <c r="B610" s="11"/>
      <c r="C610" s="11"/>
      <c r="D610" s="11"/>
      <c r="E610" s="11"/>
      <c r="F610" s="3">
        <f>IF(B610="","",MAX(0,D610-E610))</f>
      </c>
      <c r="G610" s="11"/>
      <c r="H610" s="3">
        <f>IF(B610="","",IF(C610="","כן","לא"))</f>
      </c>
      <c r="I610" s="3">
        <f>IF(B610="","",IF(D610=0,"כן","לא"))</f>
      </c>
      <c r="J610" s="3">
        <f>IF(B610="","",IF(F610&gt;0,"כן","לא"))</f>
      </c>
    </row>
    <row r="611" spans="1:10" x14ac:dyDescent="0.25">
      <c r="A611" s="11"/>
      <c r="B611" s="11"/>
      <c r="C611" s="11"/>
      <c r="D611" s="11"/>
      <c r="E611" s="11"/>
      <c r="F611" s="3">
        <f>IF(B611="","",MAX(0,D611-E611))</f>
      </c>
      <c r="G611" s="11"/>
      <c r="H611" s="3">
        <f>IF(B611="","",IF(C611="","כן","לא"))</f>
      </c>
      <c r="I611" s="3">
        <f>IF(B611="","",IF(D611=0,"כן","לא"))</f>
      </c>
      <c r="J611" s="3">
        <f>IF(B611="","",IF(F611&gt;0,"כן","לא"))</f>
      </c>
    </row>
    <row r="612" spans="1:10" x14ac:dyDescent="0.25">
      <c r="A612" s="11"/>
      <c r="B612" s="11"/>
      <c r="C612" s="11"/>
      <c r="D612" s="11"/>
      <c r="E612" s="11"/>
      <c r="F612" s="3">
        <f>IF(B612="","",MAX(0,D612-E612))</f>
      </c>
      <c r="G612" s="11"/>
      <c r="H612" s="3">
        <f>IF(B612="","",IF(C612="","כן","לא"))</f>
      </c>
      <c r="I612" s="3">
        <f>IF(B612="","",IF(D612=0,"כן","לא"))</f>
      </c>
      <c r="J612" s="3">
        <f>IF(B612="","",IF(F612&gt;0,"כן","לא"))</f>
      </c>
    </row>
    <row r="613" spans="1:10" x14ac:dyDescent="0.25">
      <c r="A613" s="11"/>
      <c r="B613" s="11"/>
      <c r="C613" s="11"/>
      <c r="D613" s="11"/>
      <c r="E613" s="11"/>
      <c r="F613" s="3">
        <f>IF(B613="","",MAX(0,D613-E613))</f>
      </c>
      <c r="G613" s="11"/>
      <c r="H613" s="3">
        <f>IF(B613="","",IF(C613="","כן","לא"))</f>
      </c>
      <c r="I613" s="3">
        <f>IF(B613="","",IF(D613=0,"כן","לא"))</f>
      </c>
      <c r="J613" s="3">
        <f>IF(B613="","",IF(F613&gt;0,"כן","לא"))</f>
      </c>
    </row>
    <row r="614" spans="1:10" x14ac:dyDescent="0.25">
      <c r="A614" s="11"/>
      <c r="B614" s="11"/>
      <c r="C614" s="11"/>
      <c r="D614" s="11"/>
      <c r="E614" s="11"/>
      <c r="F614" s="3">
        <f>IF(B614="","",MAX(0,D614-E614))</f>
      </c>
      <c r="G614" s="11"/>
      <c r="H614" s="3">
        <f>IF(B614="","",IF(C614="","כן","לא"))</f>
      </c>
      <c r="I614" s="3">
        <f>IF(B614="","",IF(D614=0,"כן","לא"))</f>
      </c>
      <c r="J614" s="3">
        <f>IF(B614="","",IF(F614&gt;0,"כן","לא"))</f>
      </c>
    </row>
    <row r="615" spans="1:10" x14ac:dyDescent="0.25">
      <c r="A615" s="11"/>
      <c r="B615" s="11"/>
      <c r="C615" s="11"/>
      <c r="D615" s="11"/>
      <c r="E615" s="11"/>
      <c r="F615" s="3">
        <f>IF(B615="","",MAX(0,D615-E615))</f>
      </c>
      <c r="G615" s="11"/>
      <c r="H615" s="3">
        <f>IF(B615="","",IF(C615="","כן","לא"))</f>
      </c>
      <c r="I615" s="3">
        <f>IF(B615="","",IF(D615=0,"כן","לא"))</f>
      </c>
      <c r="J615" s="3">
        <f>IF(B615="","",IF(F615&gt;0,"כן","לא"))</f>
      </c>
    </row>
    <row r="616" spans="1:10" x14ac:dyDescent="0.25">
      <c r="A616" s="11"/>
      <c r="B616" s="11"/>
      <c r="C616" s="11"/>
      <c r="D616" s="11"/>
      <c r="E616" s="11"/>
      <c r="F616" s="3">
        <f>IF(B616="","",MAX(0,D616-E616))</f>
      </c>
      <c r="G616" s="11"/>
      <c r="H616" s="3">
        <f>IF(B616="","",IF(C616="","כן","לא"))</f>
      </c>
      <c r="I616" s="3">
        <f>IF(B616="","",IF(D616=0,"כן","לא"))</f>
      </c>
      <c r="J616" s="3">
        <f>IF(B616="","",IF(F616&gt;0,"כן","לא"))</f>
      </c>
    </row>
    <row r="617" spans="1:10" x14ac:dyDescent="0.25">
      <c r="A617" s="11"/>
      <c r="B617" s="11"/>
      <c r="C617" s="11"/>
      <c r="D617" s="11"/>
      <c r="E617" s="11"/>
      <c r="F617" s="3">
        <f>IF(B617="","",MAX(0,D617-E617))</f>
      </c>
      <c r="G617" s="11"/>
      <c r="H617" s="3">
        <f>IF(B617="","",IF(C617="","כן","לא"))</f>
      </c>
      <c r="I617" s="3">
        <f>IF(B617="","",IF(D617=0,"כן","לא"))</f>
      </c>
      <c r="J617" s="3">
        <f>IF(B617="","",IF(F617&gt;0,"כן","לא"))</f>
      </c>
    </row>
    <row r="618" spans="1:10" x14ac:dyDescent="0.25">
      <c r="A618" s="11"/>
      <c r="B618" s="11"/>
      <c r="C618" s="11"/>
      <c r="D618" s="11"/>
      <c r="E618" s="11"/>
      <c r="F618" s="3">
        <f>IF(B618="","",MAX(0,D618-E618))</f>
      </c>
      <c r="G618" s="11"/>
      <c r="H618" s="3">
        <f>IF(B618="","",IF(C618="","כן","לא"))</f>
      </c>
      <c r="I618" s="3">
        <f>IF(B618="","",IF(D618=0,"כן","לא"))</f>
      </c>
      <c r="J618" s="3">
        <f>IF(B618="","",IF(F618&gt;0,"כן","לא"))</f>
      </c>
    </row>
    <row r="619" spans="1:10" x14ac:dyDescent="0.25">
      <c r="A619" s="11"/>
      <c r="B619" s="11"/>
      <c r="C619" s="11"/>
      <c r="D619" s="11"/>
      <c r="E619" s="11"/>
      <c r="F619" s="3">
        <f>IF(B619="","",MAX(0,D619-E619))</f>
      </c>
      <c r="G619" s="11"/>
      <c r="H619" s="3">
        <f>IF(B619="","",IF(C619="","כן","לא"))</f>
      </c>
      <c r="I619" s="3">
        <f>IF(B619="","",IF(D619=0,"כן","לא"))</f>
      </c>
      <c r="J619" s="3">
        <f>IF(B619="","",IF(F619&gt;0,"כן","לא"))</f>
      </c>
    </row>
    <row r="620" spans="1:10" x14ac:dyDescent="0.25">
      <c r="A620" s="11"/>
      <c r="B620" s="11"/>
      <c r="C620" s="11"/>
      <c r="D620" s="11"/>
      <c r="E620" s="11"/>
      <c r="F620" s="3">
        <f>IF(B620="","",MAX(0,D620-E620))</f>
      </c>
      <c r="G620" s="11"/>
      <c r="H620" s="3">
        <f>IF(B620="","",IF(C620="","כן","לא"))</f>
      </c>
      <c r="I620" s="3">
        <f>IF(B620="","",IF(D620=0,"כן","לא"))</f>
      </c>
      <c r="J620" s="3">
        <f>IF(B620="","",IF(F620&gt;0,"כן","לא"))</f>
      </c>
    </row>
    <row r="621" spans="1:10" x14ac:dyDescent="0.25">
      <c r="A621" s="11"/>
      <c r="B621" s="11"/>
      <c r="C621" s="11"/>
      <c r="D621" s="11"/>
      <c r="E621" s="11"/>
      <c r="F621" s="3">
        <f>IF(B621="","",MAX(0,D621-E621))</f>
      </c>
      <c r="G621" s="11"/>
      <c r="H621" s="3">
        <f>IF(B621="","",IF(C621="","כן","לא"))</f>
      </c>
      <c r="I621" s="3">
        <f>IF(B621="","",IF(D621=0,"כן","לא"))</f>
      </c>
      <c r="J621" s="3">
        <f>IF(B621="","",IF(F621&gt;0,"כן","לא"))</f>
      </c>
    </row>
    <row r="622" spans="1:10" x14ac:dyDescent="0.25">
      <c r="A622" s="11"/>
      <c r="B622" s="11"/>
      <c r="C622" s="11"/>
      <c r="D622" s="11"/>
      <c r="E622" s="11"/>
      <c r="F622" s="3">
        <f>IF(B622="","",MAX(0,D622-E622))</f>
      </c>
      <c r="G622" s="11"/>
      <c r="H622" s="3">
        <f>IF(B622="","",IF(C622="","כן","לא"))</f>
      </c>
      <c r="I622" s="3">
        <f>IF(B622="","",IF(D622=0,"כן","לא"))</f>
      </c>
      <c r="J622" s="3">
        <f>IF(B622="","",IF(F622&gt;0,"כן","לא"))</f>
      </c>
    </row>
    <row r="623" spans="1:10" x14ac:dyDescent="0.25">
      <c r="A623" s="11"/>
      <c r="B623" s="11"/>
      <c r="C623" s="11"/>
      <c r="D623" s="11"/>
      <c r="E623" s="11"/>
      <c r="F623" s="3">
        <f>IF(B623="","",MAX(0,D623-E623))</f>
      </c>
      <c r="G623" s="11"/>
      <c r="H623" s="3">
        <f>IF(B623="","",IF(C623="","כן","לא"))</f>
      </c>
      <c r="I623" s="3">
        <f>IF(B623="","",IF(D623=0,"כן","לא"))</f>
      </c>
      <c r="J623" s="3">
        <f>IF(B623="","",IF(F623&gt;0,"כן","לא"))</f>
      </c>
    </row>
    <row r="624" spans="1:10" x14ac:dyDescent="0.25">
      <c r="A624" s="11"/>
      <c r="B624" s="11"/>
      <c r="C624" s="11"/>
      <c r="D624" s="11"/>
      <c r="E624" s="11"/>
      <c r="F624" s="3">
        <f>IF(B624="","",MAX(0,D624-E624))</f>
      </c>
      <c r="G624" s="11"/>
      <c r="H624" s="3">
        <f>IF(B624="","",IF(C624="","כן","לא"))</f>
      </c>
      <c r="I624" s="3">
        <f>IF(B624="","",IF(D624=0,"כן","לא"))</f>
      </c>
      <c r="J624" s="3">
        <f>IF(B624="","",IF(F624&gt;0,"כן","לא"))</f>
      </c>
    </row>
    <row r="625" spans="1:10" x14ac:dyDescent="0.25">
      <c r="A625" s="11"/>
      <c r="B625" s="11"/>
      <c r="C625" s="11"/>
      <c r="D625" s="11"/>
      <c r="E625" s="11"/>
      <c r="F625" s="3">
        <f>IF(B625="","",MAX(0,D625-E625))</f>
      </c>
      <c r="G625" s="11"/>
      <c r="H625" s="3">
        <f>IF(B625="","",IF(C625="","כן","לא"))</f>
      </c>
      <c r="I625" s="3">
        <f>IF(B625="","",IF(D625=0,"כן","לא"))</f>
      </c>
      <c r="J625" s="3">
        <f>IF(B625="","",IF(F625&gt;0,"כן","לא"))</f>
      </c>
    </row>
    <row r="626" spans="1:10" x14ac:dyDescent="0.25">
      <c r="A626" s="11"/>
      <c r="B626" s="11"/>
      <c r="C626" s="11"/>
      <c r="D626" s="11"/>
      <c r="E626" s="11"/>
      <c r="F626" s="3">
        <f>IF(B626="","",MAX(0,D626-E626))</f>
      </c>
      <c r="G626" s="11"/>
      <c r="H626" s="3">
        <f>IF(B626="","",IF(C626="","כן","לא"))</f>
      </c>
      <c r="I626" s="3">
        <f>IF(B626="","",IF(D626=0,"כן","לא"))</f>
      </c>
      <c r="J626" s="3">
        <f>IF(B626="","",IF(F626&gt;0,"כן","לא"))</f>
      </c>
    </row>
    <row r="627" spans="1:10" x14ac:dyDescent="0.25">
      <c r="A627" s="11"/>
      <c r="B627" s="11"/>
      <c r="C627" s="11"/>
      <c r="D627" s="11"/>
      <c r="E627" s="11"/>
      <c r="F627" s="3">
        <f>IF(B627="","",MAX(0,D627-E627))</f>
      </c>
      <c r="G627" s="11"/>
      <c r="H627" s="3">
        <f>IF(B627="","",IF(C627="","כן","לא"))</f>
      </c>
      <c r="I627" s="3">
        <f>IF(B627="","",IF(D627=0,"כן","לא"))</f>
      </c>
      <c r="J627" s="3">
        <f>IF(B627="","",IF(F627&gt;0,"כן","לא"))</f>
      </c>
    </row>
    <row r="628" spans="1:10" x14ac:dyDescent="0.25">
      <c r="A628" s="11"/>
      <c r="B628" s="11"/>
      <c r="C628" s="11"/>
      <c r="D628" s="11"/>
      <c r="E628" s="11"/>
      <c r="F628" s="3">
        <f>IF(B628="","",MAX(0,D628-E628))</f>
      </c>
      <c r="G628" s="11"/>
      <c r="H628" s="3">
        <f>IF(B628="","",IF(C628="","כן","לא"))</f>
      </c>
      <c r="I628" s="3">
        <f>IF(B628="","",IF(D628=0,"כן","לא"))</f>
      </c>
      <c r="J628" s="3">
        <f>IF(B628="","",IF(F628&gt;0,"כן","לא"))</f>
      </c>
    </row>
    <row r="629" spans="1:10" x14ac:dyDescent="0.25">
      <c r="A629" s="11"/>
      <c r="B629" s="11"/>
      <c r="C629" s="11"/>
      <c r="D629" s="11"/>
      <c r="E629" s="11"/>
      <c r="F629" s="3">
        <f>IF(B629="","",MAX(0,D629-E629))</f>
      </c>
      <c r="G629" s="11"/>
      <c r="H629" s="3">
        <f>IF(B629="","",IF(C629="","כן","לא"))</f>
      </c>
      <c r="I629" s="3">
        <f>IF(B629="","",IF(D629=0,"כן","לא"))</f>
      </c>
      <c r="J629" s="3">
        <f>IF(B629="","",IF(F629&gt;0,"כן","לא"))</f>
      </c>
    </row>
    <row r="630" spans="1:10" x14ac:dyDescent="0.25">
      <c r="A630" s="11"/>
      <c r="B630" s="11"/>
      <c r="C630" s="11"/>
      <c r="D630" s="11"/>
      <c r="E630" s="11"/>
      <c r="F630" s="3">
        <f>IF(B630="","",MAX(0,D630-E630))</f>
      </c>
      <c r="G630" s="11"/>
      <c r="H630" s="3">
        <f>IF(B630="","",IF(C630="","כן","לא"))</f>
      </c>
      <c r="I630" s="3">
        <f>IF(B630="","",IF(D630=0,"כן","לא"))</f>
      </c>
      <c r="J630" s="3">
        <f>IF(B630="","",IF(F630&gt;0,"כן","לא"))</f>
      </c>
    </row>
    <row r="631" spans="1:10" x14ac:dyDescent="0.25">
      <c r="A631" s="11"/>
      <c r="B631" s="11"/>
      <c r="C631" s="11"/>
      <c r="D631" s="11"/>
      <c r="E631" s="11"/>
      <c r="F631" s="3">
        <f>IF(B631="","",MAX(0,D631-E631))</f>
      </c>
      <c r="G631" s="11"/>
      <c r="H631" s="3">
        <f>IF(B631="","",IF(C631="","כן","לא"))</f>
      </c>
      <c r="I631" s="3">
        <f>IF(B631="","",IF(D631=0,"כן","לא"))</f>
      </c>
      <c r="J631" s="3">
        <f>IF(B631="","",IF(F631&gt;0,"כן","לא"))</f>
      </c>
    </row>
    <row r="632" spans="1:10" x14ac:dyDescent="0.25">
      <c r="A632" s="11"/>
      <c r="B632" s="11"/>
      <c r="C632" s="11"/>
      <c r="D632" s="11"/>
      <c r="E632" s="11"/>
      <c r="F632" s="3">
        <f>IF(B632="","",MAX(0,D632-E632))</f>
      </c>
      <c r="G632" s="11"/>
      <c r="H632" s="3">
        <f>IF(B632="","",IF(C632="","כן","לא"))</f>
      </c>
      <c r="I632" s="3">
        <f>IF(B632="","",IF(D632=0,"כן","לא"))</f>
      </c>
      <c r="J632" s="3">
        <f>IF(B632="","",IF(F632&gt;0,"כן","לא"))</f>
      </c>
    </row>
    <row r="633" spans="1:10" x14ac:dyDescent="0.25">
      <c r="A633" s="11"/>
      <c r="B633" s="11"/>
      <c r="C633" s="11"/>
      <c r="D633" s="11"/>
      <c r="E633" s="11"/>
      <c r="F633" s="3">
        <f>IF(B633="","",MAX(0,D633-E633))</f>
      </c>
      <c r="G633" s="11"/>
      <c r="H633" s="3">
        <f>IF(B633="","",IF(C633="","כן","לא"))</f>
      </c>
      <c r="I633" s="3">
        <f>IF(B633="","",IF(D633=0,"כן","לא"))</f>
      </c>
      <c r="J633" s="3">
        <f>IF(B633="","",IF(F633&gt;0,"כן","לא"))</f>
      </c>
    </row>
    <row r="634" spans="1:10" x14ac:dyDescent="0.25">
      <c r="A634" s="11"/>
      <c r="B634" s="11"/>
      <c r="C634" s="11"/>
      <c r="D634" s="11"/>
      <c r="E634" s="11"/>
      <c r="F634" s="3">
        <f>IF(B634="","",MAX(0,D634-E634))</f>
      </c>
      <c r="G634" s="11"/>
      <c r="H634" s="3">
        <f>IF(B634="","",IF(C634="","כן","לא"))</f>
      </c>
      <c r="I634" s="3">
        <f>IF(B634="","",IF(D634=0,"כן","לא"))</f>
      </c>
      <c r="J634" s="3">
        <f>IF(B634="","",IF(F634&gt;0,"כן","לא"))</f>
      </c>
    </row>
    <row r="635" spans="1:10" x14ac:dyDescent="0.25">
      <c r="A635" s="11"/>
      <c r="B635" s="11"/>
      <c r="C635" s="11"/>
      <c r="D635" s="11"/>
      <c r="E635" s="11"/>
      <c r="F635" s="3">
        <f>IF(B635="","",MAX(0,D635-E635))</f>
      </c>
      <c r="G635" s="11"/>
      <c r="H635" s="3">
        <f>IF(B635="","",IF(C635="","כן","לא"))</f>
      </c>
      <c r="I635" s="3">
        <f>IF(B635="","",IF(D635=0,"כן","לא"))</f>
      </c>
      <c r="J635" s="3">
        <f>IF(B635="","",IF(F635&gt;0,"כן","לא"))</f>
      </c>
    </row>
    <row r="636" spans="1:10" x14ac:dyDescent="0.25">
      <c r="A636" s="11"/>
      <c r="B636" s="11"/>
      <c r="C636" s="11"/>
      <c r="D636" s="11"/>
      <c r="E636" s="11"/>
      <c r="F636" s="3">
        <f>IF(B636="","",MAX(0,D636-E636))</f>
      </c>
      <c r="G636" s="11"/>
      <c r="H636" s="3">
        <f>IF(B636="","",IF(C636="","כן","לא"))</f>
      </c>
      <c r="I636" s="3">
        <f>IF(B636="","",IF(D636=0,"כן","לא"))</f>
      </c>
      <c r="J636" s="3">
        <f>IF(B636="","",IF(F636&gt;0,"כן","לא"))</f>
      </c>
    </row>
    <row r="637" spans="1:10" x14ac:dyDescent="0.25">
      <c r="A637" s="11"/>
      <c r="B637" s="11"/>
      <c r="C637" s="11"/>
      <c r="D637" s="11"/>
      <c r="E637" s="11"/>
      <c r="F637" s="3">
        <f>IF(B637="","",MAX(0,D637-E637))</f>
      </c>
      <c r="G637" s="11"/>
      <c r="H637" s="3">
        <f>IF(B637="","",IF(C637="","כן","לא"))</f>
      </c>
      <c r="I637" s="3">
        <f>IF(B637="","",IF(D637=0,"כן","לא"))</f>
      </c>
      <c r="J637" s="3">
        <f>IF(B637="","",IF(F637&gt;0,"כן","לא"))</f>
      </c>
    </row>
    <row r="638" spans="1:10" x14ac:dyDescent="0.25">
      <c r="A638" s="11"/>
      <c r="B638" s="11"/>
      <c r="C638" s="11"/>
      <c r="D638" s="11"/>
      <c r="E638" s="11"/>
      <c r="F638" s="3">
        <f>IF(B638="","",MAX(0,D638-E638))</f>
      </c>
      <c r="G638" s="11"/>
      <c r="H638" s="3">
        <f>IF(B638="","",IF(C638="","כן","לא"))</f>
      </c>
      <c r="I638" s="3">
        <f>IF(B638="","",IF(D638=0,"כן","לא"))</f>
      </c>
      <c r="J638" s="3">
        <f>IF(B638="","",IF(F638&gt;0,"כן","לא"))</f>
      </c>
    </row>
    <row r="639" spans="1:10" x14ac:dyDescent="0.25">
      <c r="A639" s="11"/>
      <c r="B639" s="11"/>
      <c r="C639" s="11"/>
      <c r="D639" s="11"/>
      <c r="E639" s="11"/>
      <c r="F639" s="3">
        <f>IF(B639="","",MAX(0,D639-E639))</f>
      </c>
      <c r="G639" s="11"/>
      <c r="H639" s="3">
        <f>IF(B639="","",IF(C639="","כן","לא"))</f>
      </c>
      <c r="I639" s="3">
        <f>IF(B639="","",IF(D639=0,"כן","לא"))</f>
      </c>
      <c r="J639" s="3">
        <f>IF(B639="","",IF(F639&gt;0,"כן","לא"))</f>
      </c>
    </row>
    <row r="640" spans="1:10" x14ac:dyDescent="0.25">
      <c r="A640" s="11"/>
      <c r="B640" s="11"/>
      <c r="C640" s="11"/>
      <c r="D640" s="11"/>
      <c r="E640" s="11"/>
      <c r="F640" s="3">
        <f>IF(B640="","",MAX(0,D640-E640))</f>
      </c>
      <c r="G640" s="11"/>
      <c r="H640" s="3">
        <f>IF(B640="","",IF(C640="","כן","לא"))</f>
      </c>
      <c r="I640" s="3">
        <f>IF(B640="","",IF(D640=0,"כן","לא"))</f>
      </c>
      <c r="J640" s="3">
        <f>IF(B640="","",IF(F640&gt;0,"כן","לא"))</f>
      </c>
    </row>
    <row r="641" spans="1:10" x14ac:dyDescent="0.25">
      <c r="A641" s="11"/>
      <c r="B641" s="11"/>
      <c r="C641" s="11"/>
      <c r="D641" s="11"/>
      <c r="E641" s="11"/>
      <c r="F641" s="3">
        <f>IF(B641="","",MAX(0,D641-E641))</f>
      </c>
      <c r="G641" s="11"/>
      <c r="H641" s="3">
        <f>IF(B641="","",IF(C641="","כן","לא"))</f>
      </c>
      <c r="I641" s="3">
        <f>IF(B641="","",IF(D641=0,"כן","לא"))</f>
      </c>
      <c r="J641" s="3">
        <f>IF(B641="","",IF(F641&gt;0,"כן","לא"))</f>
      </c>
    </row>
    <row r="642" spans="1:10" x14ac:dyDescent="0.25">
      <c r="A642" s="11"/>
      <c r="B642" s="11"/>
      <c r="C642" s="11"/>
      <c r="D642" s="11"/>
      <c r="E642" s="11"/>
      <c r="F642" s="3">
        <f>IF(B642="","",MAX(0,D642-E642))</f>
      </c>
      <c r="G642" s="11"/>
      <c r="H642" s="3">
        <f>IF(B642="","",IF(C642="","כן","לא"))</f>
      </c>
      <c r="I642" s="3">
        <f>IF(B642="","",IF(D642=0,"כן","לא"))</f>
      </c>
      <c r="J642" s="3">
        <f>IF(B642="","",IF(F642&gt;0,"כן","לא"))</f>
      </c>
    </row>
    <row r="643" spans="1:10" x14ac:dyDescent="0.25">
      <c r="A643" s="11"/>
      <c r="B643" s="11"/>
      <c r="C643" s="11"/>
      <c r="D643" s="11"/>
      <c r="E643" s="11"/>
      <c r="F643" s="3">
        <f>IF(B643="","",MAX(0,D643-E643))</f>
      </c>
      <c r="G643" s="11"/>
      <c r="H643" s="3">
        <f>IF(B643="","",IF(C643="","כן","לא"))</f>
      </c>
      <c r="I643" s="3">
        <f>IF(B643="","",IF(D643=0,"כן","לא"))</f>
      </c>
      <c r="J643" s="3">
        <f>IF(B643="","",IF(F643&gt;0,"כן","לא"))</f>
      </c>
    </row>
    <row r="644" spans="1:10" x14ac:dyDescent="0.25">
      <c r="A644" s="11"/>
      <c r="B644" s="11"/>
      <c r="C644" s="11"/>
      <c r="D644" s="11"/>
      <c r="E644" s="11"/>
      <c r="F644" s="3">
        <f>IF(B644="","",MAX(0,D644-E644))</f>
      </c>
      <c r="G644" s="11"/>
      <c r="H644" s="3">
        <f>IF(B644="","",IF(C644="","כן","לא"))</f>
      </c>
      <c r="I644" s="3">
        <f>IF(B644="","",IF(D644=0,"כן","לא"))</f>
      </c>
      <c r="J644" s="3">
        <f>IF(B644="","",IF(F644&gt;0,"כן","לא"))</f>
      </c>
    </row>
    <row r="645" spans="1:10" x14ac:dyDescent="0.25">
      <c r="A645" s="11"/>
      <c r="B645" s="11"/>
      <c r="C645" s="11"/>
      <c r="D645" s="11"/>
      <c r="E645" s="11"/>
      <c r="F645" s="3">
        <f>IF(B645="","",MAX(0,D645-E645))</f>
      </c>
      <c r="G645" s="11"/>
      <c r="H645" s="3">
        <f>IF(B645="","",IF(C645="","כן","לא"))</f>
      </c>
      <c r="I645" s="3">
        <f>IF(B645="","",IF(D645=0,"כן","לא"))</f>
      </c>
      <c r="J645" s="3">
        <f>IF(B645="","",IF(F645&gt;0,"כן","לא"))</f>
      </c>
    </row>
    <row r="646" spans="1:10" x14ac:dyDescent="0.25">
      <c r="A646" s="11"/>
      <c r="B646" s="11"/>
      <c r="C646" s="11"/>
      <c r="D646" s="11"/>
      <c r="E646" s="11"/>
      <c r="F646" s="3">
        <f>IF(B646="","",MAX(0,D646-E646))</f>
      </c>
      <c r="G646" s="11"/>
      <c r="H646" s="3">
        <f>IF(B646="","",IF(C646="","כן","לא"))</f>
      </c>
      <c r="I646" s="3">
        <f>IF(B646="","",IF(D646=0,"כן","לא"))</f>
      </c>
      <c r="J646" s="3">
        <f>IF(B646="","",IF(F646&gt;0,"כן","לא"))</f>
      </c>
    </row>
    <row r="647" spans="1:10" x14ac:dyDescent="0.25">
      <c r="A647" s="11"/>
      <c r="B647" s="11"/>
      <c r="C647" s="11"/>
      <c r="D647" s="11"/>
      <c r="E647" s="11"/>
      <c r="F647" s="3">
        <f>IF(B647="","",MAX(0,D647-E647))</f>
      </c>
      <c r="G647" s="11"/>
      <c r="H647" s="3">
        <f>IF(B647="","",IF(C647="","כן","לא"))</f>
      </c>
      <c r="I647" s="3">
        <f>IF(B647="","",IF(D647=0,"כן","לא"))</f>
      </c>
      <c r="J647" s="3">
        <f>IF(B647="","",IF(F647&gt;0,"כן","לא"))</f>
      </c>
    </row>
    <row r="648" spans="1:10" x14ac:dyDescent="0.25">
      <c r="A648" s="11"/>
      <c r="B648" s="11"/>
      <c r="C648" s="11"/>
      <c r="D648" s="11"/>
      <c r="E648" s="11"/>
      <c r="F648" s="3">
        <f>IF(B648="","",MAX(0,D648-E648))</f>
      </c>
      <c r="G648" s="11"/>
      <c r="H648" s="3">
        <f>IF(B648="","",IF(C648="","כן","לא"))</f>
      </c>
      <c r="I648" s="3">
        <f>IF(B648="","",IF(D648=0,"כן","לא"))</f>
      </c>
      <c r="J648" s="3">
        <f>IF(B648="","",IF(F648&gt;0,"כן","לא"))</f>
      </c>
    </row>
    <row r="649" spans="1:10" x14ac:dyDescent="0.25">
      <c r="A649" s="11"/>
      <c r="B649" s="11"/>
      <c r="C649" s="11"/>
      <c r="D649" s="11"/>
      <c r="E649" s="11"/>
      <c r="F649" s="3">
        <f>IF(B649="","",MAX(0,D649-E649))</f>
      </c>
      <c r="G649" s="11"/>
      <c r="H649" s="3">
        <f>IF(B649="","",IF(C649="","כן","לא"))</f>
      </c>
      <c r="I649" s="3">
        <f>IF(B649="","",IF(D649=0,"כן","לא"))</f>
      </c>
      <c r="J649" s="3">
        <f>IF(B649="","",IF(F649&gt;0,"כן","לא"))</f>
      </c>
    </row>
    <row r="650" spans="1:10" x14ac:dyDescent="0.25">
      <c r="A650" s="11"/>
      <c r="B650" s="11"/>
      <c r="C650" s="11"/>
      <c r="D650" s="11"/>
      <c r="E650" s="11"/>
      <c r="F650" s="3">
        <f>IF(B650="","",MAX(0,D650-E650))</f>
      </c>
      <c r="G650" s="11"/>
      <c r="H650" s="3">
        <f>IF(B650="","",IF(C650="","כן","לא"))</f>
      </c>
      <c r="I650" s="3">
        <f>IF(B650="","",IF(D650=0,"כן","לא"))</f>
      </c>
      <c r="J650" s="3">
        <f>IF(B650="","",IF(F650&gt;0,"כן","לא"))</f>
      </c>
    </row>
    <row r="651" spans="1:10" x14ac:dyDescent="0.25">
      <c r="A651" s="11"/>
      <c r="B651" s="11"/>
      <c r="C651" s="11"/>
      <c r="D651" s="11"/>
      <c r="E651" s="11"/>
      <c r="F651" s="3">
        <f>IF(B651="","",MAX(0,D651-E651))</f>
      </c>
      <c r="G651" s="11"/>
      <c r="H651" s="3">
        <f>IF(B651="","",IF(C651="","כן","לא"))</f>
      </c>
      <c r="I651" s="3">
        <f>IF(B651="","",IF(D651=0,"כן","לא"))</f>
      </c>
      <c r="J651" s="3">
        <f>IF(B651="","",IF(F651&gt;0,"כן","לא"))</f>
      </c>
    </row>
    <row r="652" spans="1:10" x14ac:dyDescent="0.25">
      <c r="A652" s="11"/>
      <c r="B652" s="11"/>
      <c r="C652" s="11"/>
      <c r="D652" s="11"/>
      <c r="E652" s="11"/>
      <c r="F652" s="3">
        <f>IF(B652="","",MAX(0,D652-E652))</f>
      </c>
      <c r="G652" s="11"/>
      <c r="H652" s="3">
        <f>IF(B652="","",IF(C652="","כן","לא"))</f>
      </c>
      <c r="I652" s="3">
        <f>IF(B652="","",IF(D652=0,"כן","לא"))</f>
      </c>
      <c r="J652" s="3">
        <f>IF(B652="","",IF(F652&gt;0,"כן","לא"))</f>
      </c>
    </row>
    <row r="653" spans="1:10" x14ac:dyDescent="0.25">
      <c r="A653" s="11"/>
      <c r="B653" s="11"/>
      <c r="C653" s="11"/>
      <c r="D653" s="11"/>
      <c r="E653" s="11"/>
      <c r="F653" s="3">
        <f>IF(B653="","",MAX(0,D653-E653))</f>
      </c>
      <c r="G653" s="11"/>
      <c r="H653" s="3">
        <f>IF(B653="","",IF(C653="","כן","לא"))</f>
      </c>
      <c r="I653" s="3">
        <f>IF(B653="","",IF(D653=0,"כן","לא"))</f>
      </c>
      <c r="J653" s="3">
        <f>IF(B653="","",IF(F653&gt;0,"כן","לא"))</f>
      </c>
    </row>
    <row r="654" spans="1:10" x14ac:dyDescent="0.25">
      <c r="A654" s="11"/>
      <c r="B654" s="11"/>
      <c r="C654" s="11"/>
      <c r="D654" s="11"/>
      <c r="E654" s="11"/>
      <c r="F654" s="3">
        <f>IF(B654="","",MAX(0,D654-E654))</f>
      </c>
      <c r="G654" s="11"/>
      <c r="H654" s="3">
        <f>IF(B654="","",IF(C654="","כן","לא"))</f>
      </c>
      <c r="I654" s="3">
        <f>IF(B654="","",IF(D654=0,"כן","לא"))</f>
      </c>
      <c r="J654" s="3">
        <f>IF(B654="","",IF(F654&gt;0,"כן","לא"))</f>
      </c>
    </row>
    <row r="655" spans="1:10" x14ac:dyDescent="0.25">
      <c r="A655" s="11"/>
      <c r="B655" s="11"/>
      <c r="C655" s="11"/>
      <c r="D655" s="11"/>
      <c r="E655" s="11"/>
      <c r="F655" s="3">
        <f>IF(B655="","",MAX(0,D655-E655))</f>
      </c>
      <c r="G655" s="11"/>
      <c r="H655" s="3">
        <f>IF(B655="","",IF(C655="","כן","לא"))</f>
      </c>
      <c r="I655" s="3">
        <f>IF(B655="","",IF(D655=0,"כן","לא"))</f>
      </c>
      <c r="J655" s="3">
        <f>IF(B655="","",IF(F655&gt;0,"כן","לא"))</f>
      </c>
    </row>
    <row r="656" spans="1:10" x14ac:dyDescent="0.25">
      <c r="A656" s="11"/>
      <c r="B656" s="11"/>
      <c r="C656" s="11"/>
      <c r="D656" s="11"/>
      <c r="E656" s="11"/>
      <c r="F656" s="3">
        <f>IF(B656="","",MAX(0,D656-E656))</f>
      </c>
      <c r="G656" s="11"/>
      <c r="H656" s="3">
        <f>IF(B656="","",IF(C656="","כן","לא"))</f>
      </c>
      <c r="I656" s="3">
        <f>IF(B656="","",IF(D656=0,"כן","לא"))</f>
      </c>
      <c r="J656" s="3">
        <f>IF(B656="","",IF(F656&gt;0,"כן","לא"))</f>
      </c>
    </row>
    <row r="657" spans="1:10" x14ac:dyDescent="0.25">
      <c r="A657" s="11"/>
      <c r="B657" s="11"/>
      <c r="C657" s="11"/>
      <c r="D657" s="11"/>
      <c r="E657" s="11"/>
      <c r="F657" s="3">
        <f>IF(B657="","",MAX(0,D657-E657))</f>
      </c>
      <c r="G657" s="11"/>
      <c r="H657" s="3">
        <f>IF(B657="","",IF(C657="","כן","לא"))</f>
      </c>
      <c r="I657" s="3">
        <f>IF(B657="","",IF(D657=0,"כן","לא"))</f>
      </c>
      <c r="J657" s="3">
        <f>IF(B657="","",IF(F657&gt;0,"כן","לא"))</f>
      </c>
    </row>
    <row r="658" spans="1:10" x14ac:dyDescent="0.25">
      <c r="A658" s="11"/>
      <c r="B658" s="11"/>
      <c r="C658" s="11"/>
      <c r="D658" s="11"/>
      <c r="E658" s="11"/>
      <c r="F658" s="3">
        <f>IF(B658="","",MAX(0,D658-E658))</f>
      </c>
      <c r="G658" s="11"/>
      <c r="H658" s="3">
        <f>IF(B658="","",IF(C658="","כן","לא"))</f>
      </c>
      <c r="I658" s="3">
        <f>IF(B658="","",IF(D658=0,"כן","לא"))</f>
      </c>
      <c r="J658" s="3">
        <f>IF(B658="","",IF(F658&gt;0,"כן","לא"))</f>
      </c>
    </row>
    <row r="659" spans="1:10" x14ac:dyDescent="0.25">
      <c r="A659" s="11"/>
      <c r="B659" s="11"/>
      <c r="C659" s="11"/>
      <c r="D659" s="11"/>
      <c r="E659" s="11"/>
      <c r="F659" s="3">
        <f>IF(B659="","",MAX(0,D659-E659))</f>
      </c>
      <c r="G659" s="11"/>
      <c r="H659" s="3">
        <f>IF(B659="","",IF(C659="","כן","לא"))</f>
      </c>
      <c r="I659" s="3">
        <f>IF(B659="","",IF(D659=0,"כן","לא"))</f>
      </c>
      <c r="J659" s="3">
        <f>IF(B659="","",IF(F659&gt;0,"כן","לא"))</f>
      </c>
    </row>
    <row r="660" spans="1:10" x14ac:dyDescent="0.25">
      <c r="A660" s="11"/>
      <c r="B660" s="11"/>
      <c r="C660" s="11"/>
      <c r="D660" s="11"/>
      <c r="E660" s="11"/>
      <c r="F660" s="3">
        <f>IF(B660="","",MAX(0,D660-E660))</f>
      </c>
      <c r="G660" s="11"/>
      <c r="H660" s="3">
        <f>IF(B660="","",IF(C660="","כן","לא"))</f>
      </c>
      <c r="I660" s="3">
        <f>IF(B660="","",IF(D660=0,"כן","לא"))</f>
      </c>
      <c r="J660" s="3">
        <f>IF(B660="","",IF(F660&gt;0,"כן","לא"))</f>
      </c>
    </row>
    <row r="661" spans="1:10" x14ac:dyDescent="0.25">
      <c r="A661" s="11"/>
      <c r="B661" s="11"/>
      <c r="C661" s="11"/>
      <c r="D661" s="11"/>
      <c r="E661" s="11"/>
      <c r="F661" s="3">
        <f>IF(B661="","",MAX(0,D661-E661))</f>
      </c>
      <c r="G661" s="11"/>
      <c r="H661" s="3">
        <f>IF(B661="","",IF(C661="","כן","לא"))</f>
      </c>
      <c r="I661" s="3">
        <f>IF(B661="","",IF(D661=0,"כן","לא"))</f>
      </c>
      <c r="J661" s="3">
        <f>IF(B661="","",IF(F661&gt;0,"כן","לא"))</f>
      </c>
    </row>
    <row r="662" spans="1:10" x14ac:dyDescent="0.25">
      <c r="A662" s="11"/>
      <c r="B662" s="11"/>
      <c r="C662" s="11"/>
      <c r="D662" s="11"/>
      <c r="E662" s="11"/>
      <c r="F662" s="3">
        <f>IF(B662="","",MAX(0,D662-E662))</f>
      </c>
      <c r="G662" s="11"/>
      <c r="H662" s="3">
        <f>IF(B662="","",IF(C662="","כן","לא"))</f>
      </c>
      <c r="I662" s="3">
        <f>IF(B662="","",IF(D662=0,"כן","לא"))</f>
      </c>
      <c r="J662" s="3">
        <f>IF(B662="","",IF(F662&gt;0,"כן","לא"))</f>
      </c>
    </row>
    <row r="663" spans="1:10" x14ac:dyDescent="0.25">
      <c r="A663" s="11"/>
      <c r="B663" s="11"/>
      <c r="C663" s="11"/>
      <c r="D663" s="11"/>
      <c r="E663" s="11"/>
      <c r="F663" s="3">
        <f>IF(B663="","",MAX(0,D663-E663))</f>
      </c>
      <c r="G663" s="11"/>
      <c r="H663" s="3">
        <f>IF(B663="","",IF(C663="","כן","לא"))</f>
      </c>
      <c r="I663" s="3">
        <f>IF(B663="","",IF(D663=0,"כן","לא"))</f>
      </c>
      <c r="J663" s="3">
        <f>IF(B663="","",IF(F663&gt;0,"כן","לא"))</f>
      </c>
    </row>
    <row r="664" spans="1:10" x14ac:dyDescent="0.25">
      <c r="A664" s="11"/>
      <c r="B664" s="11"/>
      <c r="C664" s="11"/>
      <c r="D664" s="11"/>
      <c r="E664" s="11"/>
      <c r="F664" s="3">
        <f>IF(B664="","",MAX(0,D664-E664))</f>
      </c>
      <c r="G664" s="11"/>
      <c r="H664" s="3">
        <f>IF(B664="","",IF(C664="","כן","לא"))</f>
      </c>
      <c r="I664" s="3">
        <f>IF(B664="","",IF(D664=0,"כן","לא"))</f>
      </c>
      <c r="J664" s="3">
        <f>IF(B664="","",IF(F664&gt;0,"כן","לא"))</f>
      </c>
    </row>
    <row r="665" spans="1:10" x14ac:dyDescent="0.25">
      <c r="A665" s="11"/>
      <c r="B665" s="11"/>
      <c r="C665" s="11"/>
      <c r="D665" s="11"/>
      <c r="E665" s="11"/>
      <c r="F665" s="3">
        <f>IF(B665="","",MAX(0,D665-E665))</f>
      </c>
      <c r="G665" s="11"/>
      <c r="H665" s="3">
        <f>IF(B665="","",IF(C665="","כן","לא"))</f>
      </c>
      <c r="I665" s="3">
        <f>IF(B665="","",IF(D665=0,"כן","לא"))</f>
      </c>
      <c r="J665" s="3">
        <f>IF(B665="","",IF(F665&gt;0,"כן","לא"))</f>
      </c>
    </row>
    <row r="666" spans="1:10" x14ac:dyDescent="0.25">
      <c r="A666" s="11"/>
      <c r="B666" s="11"/>
      <c r="C666" s="11"/>
      <c r="D666" s="11"/>
      <c r="E666" s="11"/>
      <c r="F666" s="3">
        <f>IF(B666="","",MAX(0,D666-E666))</f>
      </c>
      <c r="G666" s="11"/>
      <c r="H666" s="3">
        <f>IF(B666="","",IF(C666="","כן","לא"))</f>
      </c>
      <c r="I666" s="3">
        <f>IF(B666="","",IF(D666=0,"כן","לא"))</f>
      </c>
      <c r="J666" s="3">
        <f>IF(B666="","",IF(F666&gt;0,"כן","לא"))</f>
      </c>
    </row>
    <row r="667" spans="1:10" x14ac:dyDescent="0.25">
      <c r="A667" s="11"/>
      <c r="B667" s="11"/>
      <c r="C667" s="11"/>
      <c r="D667" s="11"/>
      <c r="E667" s="11"/>
      <c r="F667" s="3">
        <f>IF(B667="","",MAX(0,D667-E667))</f>
      </c>
      <c r="G667" s="11"/>
      <c r="H667" s="3">
        <f>IF(B667="","",IF(C667="","כן","לא"))</f>
      </c>
      <c r="I667" s="3">
        <f>IF(B667="","",IF(D667=0,"כן","לא"))</f>
      </c>
      <c r="J667" s="3">
        <f>IF(B667="","",IF(F667&gt;0,"כן","לא"))</f>
      </c>
    </row>
    <row r="668" spans="1:10" x14ac:dyDescent="0.25">
      <c r="A668" s="11"/>
      <c r="B668" s="11"/>
      <c r="C668" s="11"/>
      <c r="D668" s="11"/>
      <c r="E668" s="11"/>
      <c r="F668" s="3">
        <f>IF(B668="","",MAX(0,D668-E668))</f>
      </c>
      <c r="G668" s="11"/>
      <c r="H668" s="3">
        <f>IF(B668="","",IF(C668="","כן","לא"))</f>
      </c>
      <c r="I668" s="3">
        <f>IF(B668="","",IF(D668=0,"כן","לא"))</f>
      </c>
      <c r="J668" s="3">
        <f>IF(B668="","",IF(F668&gt;0,"כן","לא"))</f>
      </c>
    </row>
    <row r="669" spans="1:10" x14ac:dyDescent="0.25">
      <c r="A669" s="11"/>
      <c r="B669" s="11"/>
      <c r="C669" s="11"/>
      <c r="D669" s="11"/>
      <c r="E669" s="11"/>
      <c r="F669" s="3">
        <f>IF(B669="","",MAX(0,D669-E669))</f>
      </c>
      <c r="G669" s="11"/>
      <c r="H669" s="3">
        <f>IF(B669="","",IF(C669="","כן","לא"))</f>
      </c>
      <c r="I669" s="3">
        <f>IF(B669="","",IF(D669=0,"כן","לא"))</f>
      </c>
      <c r="J669" s="3">
        <f>IF(B669="","",IF(F669&gt;0,"כן","לא"))</f>
      </c>
    </row>
    <row r="670" spans="1:10" x14ac:dyDescent="0.25">
      <c r="A670" s="11"/>
      <c r="B670" s="11"/>
      <c r="C670" s="11"/>
      <c r="D670" s="11"/>
      <c r="E670" s="11"/>
      <c r="F670" s="3">
        <f>IF(B670="","",MAX(0,D670-E670))</f>
      </c>
      <c r="G670" s="11"/>
      <c r="H670" s="3">
        <f>IF(B670="","",IF(C670="","כן","לא"))</f>
      </c>
      <c r="I670" s="3">
        <f>IF(B670="","",IF(D670=0,"כן","לא"))</f>
      </c>
      <c r="J670" s="3">
        <f>IF(B670="","",IF(F670&gt;0,"כן","לא"))</f>
      </c>
    </row>
    <row r="671" spans="1:10" x14ac:dyDescent="0.25">
      <c r="A671" s="11"/>
      <c r="B671" s="11"/>
      <c r="C671" s="11"/>
      <c r="D671" s="11"/>
      <c r="E671" s="11"/>
      <c r="F671" s="3">
        <f>IF(B671="","",MAX(0,D671-E671))</f>
      </c>
      <c r="G671" s="11"/>
      <c r="H671" s="3">
        <f>IF(B671="","",IF(C671="","כן","לא"))</f>
      </c>
      <c r="I671" s="3">
        <f>IF(B671="","",IF(D671=0,"כן","לא"))</f>
      </c>
      <c r="J671" s="3">
        <f>IF(B671="","",IF(F671&gt;0,"כן","לא"))</f>
      </c>
    </row>
    <row r="672" spans="1:10" x14ac:dyDescent="0.25">
      <c r="A672" s="11"/>
      <c r="B672" s="11"/>
      <c r="C672" s="11"/>
      <c r="D672" s="11"/>
      <c r="E672" s="11"/>
      <c r="F672" s="3">
        <f>IF(B672="","",MAX(0,D672-E672))</f>
      </c>
      <c r="G672" s="11"/>
      <c r="H672" s="3">
        <f>IF(B672="","",IF(C672="","כן","לא"))</f>
      </c>
      <c r="I672" s="3">
        <f>IF(B672="","",IF(D672=0,"כן","לא"))</f>
      </c>
      <c r="J672" s="3">
        <f>IF(B672="","",IF(F672&gt;0,"כן","לא"))</f>
      </c>
    </row>
    <row r="673" spans="1:10" x14ac:dyDescent="0.25">
      <c r="A673" s="11"/>
      <c r="B673" s="11"/>
      <c r="C673" s="11"/>
      <c r="D673" s="11"/>
      <c r="E673" s="11"/>
      <c r="F673" s="3">
        <f>IF(B673="","",MAX(0,D673-E673))</f>
      </c>
      <c r="G673" s="11"/>
      <c r="H673" s="3">
        <f>IF(B673="","",IF(C673="","כן","לא"))</f>
      </c>
      <c r="I673" s="3">
        <f>IF(B673="","",IF(D673=0,"כן","לא"))</f>
      </c>
      <c r="J673" s="3">
        <f>IF(B673="","",IF(F673&gt;0,"כן","לא"))</f>
      </c>
    </row>
    <row r="674" spans="1:10" x14ac:dyDescent="0.25">
      <c r="A674" s="11"/>
      <c r="B674" s="11"/>
      <c r="C674" s="11"/>
      <c r="D674" s="11"/>
      <c r="E674" s="11"/>
      <c r="F674" s="3">
        <f>IF(B674="","",MAX(0,D674-E674))</f>
      </c>
      <c r="G674" s="11"/>
      <c r="H674" s="3">
        <f>IF(B674="","",IF(C674="","כן","לא"))</f>
      </c>
      <c r="I674" s="3">
        <f>IF(B674="","",IF(D674=0,"כן","לא"))</f>
      </c>
      <c r="J674" s="3">
        <f>IF(B674="","",IF(F674&gt;0,"כן","לא"))</f>
      </c>
    </row>
    <row r="675" spans="1:10" x14ac:dyDescent="0.25">
      <c r="A675" s="11"/>
      <c r="B675" s="11"/>
      <c r="C675" s="11"/>
      <c r="D675" s="11"/>
      <c r="E675" s="11"/>
      <c r="F675" s="3">
        <f>IF(B675="","",MAX(0,D675-E675))</f>
      </c>
      <c r="G675" s="11"/>
      <c r="H675" s="3">
        <f>IF(B675="","",IF(C675="","כן","לא"))</f>
      </c>
      <c r="I675" s="3">
        <f>IF(B675="","",IF(D675=0,"כן","לא"))</f>
      </c>
      <c r="J675" s="3">
        <f>IF(B675="","",IF(F675&gt;0,"כן","לא"))</f>
      </c>
    </row>
    <row r="676" spans="1:10" x14ac:dyDescent="0.25">
      <c r="A676" s="11"/>
      <c r="B676" s="11"/>
      <c r="C676" s="11"/>
      <c r="D676" s="11"/>
      <c r="E676" s="11"/>
      <c r="F676" s="3">
        <f>IF(B676="","",MAX(0,D676-E676))</f>
      </c>
      <c r="G676" s="11"/>
      <c r="H676" s="3">
        <f>IF(B676="","",IF(C676="","כן","לא"))</f>
      </c>
      <c r="I676" s="3">
        <f>IF(B676="","",IF(D676=0,"כן","לא"))</f>
      </c>
      <c r="J676" s="3">
        <f>IF(B676="","",IF(F676&gt;0,"כן","לא"))</f>
      </c>
    </row>
    <row r="677" spans="1:10" x14ac:dyDescent="0.25">
      <c r="A677" s="11"/>
      <c r="B677" s="11"/>
      <c r="C677" s="11"/>
      <c r="D677" s="11"/>
      <c r="E677" s="11"/>
      <c r="F677" s="3">
        <f>IF(B677="","",MAX(0,D677-E677))</f>
      </c>
      <c r="G677" s="11"/>
      <c r="H677" s="3">
        <f>IF(B677="","",IF(C677="","כן","לא"))</f>
      </c>
      <c r="I677" s="3">
        <f>IF(B677="","",IF(D677=0,"כן","לא"))</f>
      </c>
      <c r="J677" s="3">
        <f>IF(B677="","",IF(F677&gt;0,"כן","לא"))</f>
      </c>
    </row>
    <row r="678" spans="1:10" x14ac:dyDescent="0.25">
      <c r="A678" s="11"/>
      <c r="B678" s="11"/>
      <c r="C678" s="11"/>
      <c r="D678" s="11"/>
      <c r="E678" s="11"/>
      <c r="F678" s="3">
        <f>IF(B678="","",MAX(0,D678-E678))</f>
      </c>
      <c r="G678" s="11"/>
      <c r="H678" s="3">
        <f>IF(B678="","",IF(C678="","כן","לא"))</f>
      </c>
      <c r="I678" s="3">
        <f>IF(B678="","",IF(D678=0,"כן","לא"))</f>
      </c>
      <c r="J678" s="3">
        <f>IF(B678="","",IF(F678&gt;0,"כן","לא"))</f>
      </c>
    </row>
    <row r="679" spans="1:10" x14ac:dyDescent="0.25">
      <c r="A679" s="11"/>
      <c r="B679" s="11"/>
      <c r="C679" s="11"/>
      <c r="D679" s="11"/>
      <c r="E679" s="11"/>
      <c r="F679" s="3">
        <f>IF(B679="","",MAX(0,D679-E679))</f>
      </c>
      <c r="G679" s="11"/>
      <c r="H679" s="3">
        <f>IF(B679="","",IF(C679="","כן","לא"))</f>
      </c>
      <c r="I679" s="3">
        <f>IF(B679="","",IF(D679=0,"כן","לא"))</f>
      </c>
      <c r="J679" s="3">
        <f>IF(B679="","",IF(F679&gt;0,"כן","לא"))</f>
      </c>
    </row>
    <row r="680" spans="1:10" x14ac:dyDescent="0.25">
      <c r="A680" s="11"/>
      <c r="B680" s="11"/>
      <c r="C680" s="11"/>
      <c r="D680" s="11"/>
      <c r="E680" s="11"/>
      <c r="F680" s="3">
        <f>IF(B680="","",MAX(0,D680-E680))</f>
      </c>
      <c r="G680" s="11"/>
      <c r="H680" s="3">
        <f>IF(B680="","",IF(C680="","כן","לא"))</f>
      </c>
      <c r="I680" s="3">
        <f>IF(B680="","",IF(D680=0,"כן","לא"))</f>
      </c>
      <c r="J680" s="3">
        <f>IF(B680="","",IF(F680&gt;0,"כן","לא"))</f>
      </c>
    </row>
    <row r="681" spans="1:10" x14ac:dyDescent="0.25">
      <c r="A681" s="11"/>
      <c r="B681" s="11"/>
      <c r="C681" s="11"/>
      <c r="D681" s="11"/>
      <c r="E681" s="11"/>
      <c r="F681" s="3">
        <f>IF(B681="","",MAX(0,D681-E681))</f>
      </c>
      <c r="G681" s="11"/>
      <c r="H681" s="3">
        <f>IF(B681="","",IF(C681="","כן","לא"))</f>
      </c>
      <c r="I681" s="3">
        <f>IF(B681="","",IF(D681=0,"כן","לא"))</f>
      </c>
      <c r="J681" s="3">
        <f>IF(B681="","",IF(F681&gt;0,"כן","לא"))</f>
      </c>
    </row>
    <row r="682" spans="1:10" x14ac:dyDescent="0.25">
      <c r="A682" s="11"/>
      <c r="B682" s="11"/>
      <c r="C682" s="11"/>
      <c r="D682" s="11"/>
      <c r="E682" s="11"/>
      <c r="F682" s="3">
        <f>IF(B682="","",MAX(0,D682-E682))</f>
      </c>
      <c r="G682" s="11"/>
      <c r="H682" s="3">
        <f>IF(B682="","",IF(C682="","כן","לא"))</f>
      </c>
      <c r="I682" s="3">
        <f>IF(B682="","",IF(D682=0,"כן","לא"))</f>
      </c>
      <c r="J682" s="3">
        <f>IF(B682="","",IF(F682&gt;0,"כן","לא"))</f>
      </c>
    </row>
    <row r="683" spans="1:10" x14ac:dyDescent="0.25">
      <c r="A683" s="11"/>
      <c r="B683" s="11"/>
      <c r="C683" s="11"/>
      <c r="D683" s="11"/>
      <c r="E683" s="11"/>
      <c r="F683" s="3">
        <f>IF(B683="","",MAX(0,D683-E683))</f>
      </c>
      <c r="G683" s="11"/>
      <c r="H683" s="3">
        <f>IF(B683="","",IF(C683="","כן","לא"))</f>
      </c>
      <c r="I683" s="3">
        <f>IF(B683="","",IF(D683=0,"כן","לא"))</f>
      </c>
      <c r="J683" s="3">
        <f>IF(B683="","",IF(F683&gt;0,"כן","לא"))</f>
      </c>
    </row>
    <row r="684" spans="1:10" x14ac:dyDescent="0.25">
      <c r="A684" s="11"/>
      <c r="B684" s="11"/>
      <c r="C684" s="11"/>
      <c r="D684" s="11"/>
      <c r="E684" s="11"/>
      <c r="F684" s="3">
        <f>IF(B684="","",MAX(0,D684-E684))</f>
      </c>
      <c r="G684" s="11"/>
      <c r="H684" s="3">
        <f>IF(B684="","",IF(C684="","כן","לא"))</f>
      </c>
      <c r="I684" s="3">
        <f>IF(B684="","",IF(D684=0,"כן","לא"))</f>
      </c>
      <c r="J684" s="3">
        <f>IF(B684="","",IF(F684&gt;0,"כן","לא"))</f>
      </c>
    </row>
    <row r="685" spans="1:10" x14ac:dyDescent="0.25">
      <c r="A685" s="11"/>
      <c r="B685" s="11"/>
      <c r="C685" s="11"/>
      <c r="D685" s="11"/>
      <c r="E685" s="11"/>
      <c r="F685" s="3">
        <f>IF(B685="","",MAX(0,D685-E685))</f>
      </c>
      <c r="G685" s="11"/>
      <c r="H685" s="3">
        <f>IF(B685="","",IF(C685="","כן","לא"))</f>
      </c>
      <c r="I685" s="3">
        <f>IF(B685="","",IF(D685=0,"כן","לא"))</f>
      </c>
      <c r="J685" s="3">
        <f>IF(B685="","",IF(F685&gt;0,"כן","לא"))</f>
      </c>
    </row>
    <row r="686" spans="1:10" x14ac:dyDescent="0.25">
      <c r="A686" s="11"/>
      <c r="B686" s="11"/>
      <c r="C686" s="11"/>
      <c r="D686" s="11"/>
      <c r="E686" s="11"/>
      <c r="F686" s="3">
        <f>IF(B686="","",MAX(0,D686-E686))</f>
      </c>
      <c r="G686" s="11"/>
      <c r="H686" s="3">
        <f>IF(B686="","",IF(C686="","כן","לא"))</f>
      </c>
      <c r="I686" s="3">
        <f>IF(B686="","",IF(D686=0,"כן","לא"))</f>
      </c>
      <c r="J686" s="3">
        <f>IF(B686="","",IF(F686&gt;0,"כן","לא"))</f>
      </c>
    </row>
    <row r="687" spans="1:10" x14ac:dyDescent="0.25">
      <c r="A687" s="11"/>
      <c r="B687" s="11"/>
      <c r="C687" s="11"/>
      <c r="D687" s="11"/>
      <c r="E687" s="11"/>
      <c r="F687" s="3">
        <f>IF(B687="","",MAX(0,D687-E687))</f>
      </c>
      <c r="G687" s="11"/>
      <c r="H687" s="3">
        <f>IF(B687="","",IF(C687="","כן","לא"))</f>
      </c>
      <c r="I687" s="3">
        <f>IF(B687="","",IF(D687=0,"כן","לא"))</f>
      </c>
      <c r="J687" s="3">
        <f>IF(B687="","",IF(F687&gt;0,"כן","לא"))</f>
      </c>
    </row>
    <row r="688" spans="1:10" x14ac:dyDescent="0.25">
      <c r="A688" s="11"/>
      <c r="B688" s="11"/>
      <c r="C688" s="11"/>
      <c r="D688" s="11"/>
      <c r="E688" s="11"/>
      <c r="F688" s="3">
        <f>IF(B688="","",MAX(0,D688-E688))</f>
      </c>
      <c r="G688" s="11"/>
      <c r="H688" s="3">
        <f>IF(B688="","",IF(C688="","כן","לא"))</f>
      </c>
      <c r="I688" s="3">
        <f>IF(B688="","",IF(D688=0,"כן","לא"))</f>
      </c>
      <c r="J688" s="3">
        <f>IF(B688="","",IF(F688&gt;0,"כן","לא"))</f>
      </c>
    </row>
    <row r="689" spans="1:10" x14ac:dyDescent="0.25">
      <c r="A689" s="11"/>
      <c r="B689" s="11"/>
      <c r="C689" s="11"/>
      <c r="D689" s="11"/>
      <c r="E689" s="11"/>
      <c r="F689" s="3">
        <f>IF(B689="","",MAX(0,D689-E689))</f>
      </c>
      <c r="G689" s="11"/>
      <c r="H689" s="3">
        <f>IF(B689="","",IF(C689="","כן","לא"))</f>
      </c>
      <c r="I689" s="3">
        <f>IF(B689="","",IF(D689=0,"כן","לא"))</f>
      </c>
      <c r="J689" s="3">
        <f>IF(B689="","",IF(F689&gt;0,"כן","לא"))</f>
      </c>
    </row>
    <row r="690" spans="1:10" x14ac:dyDescent="0.25">
      <c r="A690" s="11"/>
      <c r="B690" s="11"/>
      <c r="C690" s="11"/>
      <c r="D690" s="11"/>
      <c r="E690" s="11"/>
      <c r="F690" s="3">
        <f>IF(B690="","",MAX(0,D690-E690))</f>
      </c>
      <c r="G690" s="11"/>
      <c r="H690" s="3">
        <f>IF(B690="","",IF(C690="","כן","לא"))</f>
      </c>
      <c r="I690" s="3">
        <f>IF(B690="","",IF(D690=0,"כן","לא"))</f>
      </c>
      <c r="J690" s="3">
        <f>IF(B690="","",IF(F690&gt;0,"כן","לא"))</f>
      </c>
    </row>
    <row r="691" spans="1:10" x14ac:dyDescent="0.25">
      <c r="A691" s="11"/>
      <c r="B691" s="11"/>
      <c r="C691" s="11"/>
      <c r="D691" s="11"/>
      <c r="E691" s="11"/>
      <c r="F691" s="3">
        <f>IF(B691="","",MAX(0,D691-E691))</f>
      </c>
      <c r="G691" s="11"/>
      <c r="H691" s="3">
        <f>IF(B691="","",IF(C691="","כן","לא"))</f>
      </c>
      <c r="I691" s="3">
        <f>IF(B691="","",IF(D691=0,"כן","לא"))</f>
      </c>
      <c r="J691" s="3">
        <f>IF(B691="","",IF(F691&gt;0,"כן","לא"))</f>
      </c>
    </row>
    <row r="692" spans="1:10" x14ac:dyDescent="0.25">
      <c r="A692" s="11"/>
      <c r="B692" s="11"/>
      <c r="C692" s="11"/>
      <c r="D692" s="11"/>
      <c r="E692" s="11"/>
      <c r="F692" s="3">
        <f>IF(B692="","",MAX(0,D692-E692))</f>
      </c>
      <c r="G692" s="11"/>
      <c r="H692" s="3">
        <f>IF(B692="","",IF(C692="","כן","לא"))</f>
      </c>
      <c r="I692" s="3">
        <f>IF(B692="","",IF(D692=0,"כן","לא"))</f>
      </c>
      <c r="J692" s="3">
        <f>IF(B692="","",IF(F692&gt;0,"כן","לא"))</f>
      </c>
    </row>
    <row r="693" spans="1:10" x14ac:dyDescent="0.25">
      <c r="A693" s="11"/>
      <c r="B693" s="11"/>
      <c r="C693" s="11"/>
      <c r="D693" s="11"/>
      <c r="E693" s="11"/>
      <c r="F693" s="3">
        <f>IF(B693="","",MAX(0,D693-E693))</f>
      </c>
      <c r="G693" s="11"/>
      <c r="H693" s="3">
        <f>IF(B693="","",IF(C693="","כן","לא"))</f>
      </c>
      <c r="I693" s="3">
        <f>IF(B693="","",IF(D693=0,"כן","לא"))</f>
      </c>
      <c r="J693" s="3">
        <f>IF(B693="","",IF(F693&gt;0,"כן","לא"))</f>
      </c>
    </row>
    <row r="694" spans="1:10" x14ac:dyDescent="0.25">
      <c r="A694" s="11"/>
      <c r="B694" s="11"/>
      <c r="C694" s="11"/>
      <c r="D694" s="11"/>
      <c r="E694" s="11"/>
      <c r="F694" s="3">
        <f>IF(B694="","",MAX(0,D694-E694))</f>
      </c>
      <c r="G694" s="11"/>
      <c r="H694" s="3">
        <f>IF(B694="","",IF(C694="","כן","לא"))</f>
      </c>
      <c r="I694" s="3">
        <f>IF(B694="","",IF(D694=0,"כן","לא"))</f>
      </c>
      <c r="J694" s="3">
        <f>IF(B694="","",IF(F694&gt;0,"כן","לא"))</f>
      </c>
    </row>
    <row r="695" spans="1:10" x14ac:dyDescent="0.25">
      <c r="A695" s="11"/>
      <c r="B695" s="11"/>
      <c r="C695" s="11"/>
      <c r="D695" s="11"/>
      <c r="E695" s="11"/>
      <c r="F695" s="3">
        <f>IF(B695="","",MAX(0,D695-E695))</f>
      </c>
      <c r="G695" s="11"/>
      <c r="H695" s="3">
        <f>IF(B695="","",IF(C695="","כן","לא"))</f>
      </c>
      <c r="I695" s="3">
        <f>IF(B695="","",IF(D695=0,"כן","לא"))</f>
      </c>
      <c r="J695" s="3">
        <f>IF(B695="","",IF(F695&gt;0,"כן","לא"))</f>
      </c>
    </row>
    <row r="696" spans="1:10" x14ac:dyDescent="0.25">
      <c r="A696" s="11"/>
      <c r="B696" s="11"/>
      <c r="C696" s="11"/>
      <c r="D696" s="11"/>
      <c r="E696" s="11"/>
      <c r="F696" s="3">
        <f>IF(B696="","",MAX(0,D696-E696))</f>
      </c>
      <c r="G696" s="11"/>
      <c r="H696" s="3">
        <f>IF(B696="","",IF(C696="","כן","לא"))</f>
      </c>
      <c r="I696" s="3">
        <f>IF(B696="","",IF(D696=0,"כן","לא"))</f>
      </c>
      <c r="J696" s="3">
        <f>IF(B696="","",IF(F696&gt;0,"כן","לא"))</f>
      </c>
    </row>
    <row r="697" spans="1:10" x14ac:dyDescent="0.25">
      <c r="A697" s="11"/>
      <c r="B697" s="11"/>
      <c r="C697" s="11"/>
      <c r="D697" s="11"/>
      <c r="E697" s="11"/>
      <c r="F697" s="3">
        <f>IF(B697="","",MAX(0,D697-E697))</f>
      </c>
      <c r="G697" s="11"/>
      <c r="H697" s="3">
        <f>IF(B697="","",IF(C697="","כן","לא"))</f>
      </c>
      <c r="I697" s="3">
        <f>IF(B697="","",IF(D697=0,"כן","לא"))</f>
      </c>
      <c r="J697" s="3">
        <f>IF(B697="","",IF(F697&gt;0,"כן","לא"))</f>
      </c>
    </row>
    <row r="698" spans="1:10" x14ac:dyDescent="0.25">
      <c r="A698" s="11"/>
      <c r="B698" s="11"/>
      <c r="C698" s="11"/>
      <c r="D698" s="11"/>
      <c r="E698" s="11"/>
      <c r="F698" s="3">
        <f>IF(B698="","",MAX(0,D698-E698))</f>
      </c>
      <c r="G698" s="11"/>
      <c r="H698" s="3">
        <f>IF(B698="","",IF(C698="","כן","לא"))</f>
      </c>
      <c r="I698" s="3">
        <f>IF(B698="","",IF(D698=0,"כן","לא"))</f>
      </c>
      <c r="J698" s="3">
        <f>IF(B698="","",IF(F698&gt;0,"כן","לא"))</f>
      </c>
    </row>
    <row r="699" spans="1:10" x14ac:dyDescent="0.25">
      <c r="A699" s="11"/>
      <c r="B699" s="11"/>
      <c r="C699" s="11"/>
      <c r="D699" s="11"/>
      <c r="E699" s="11"/>
      <c r="F699" s="3">
        <f>IF(B699="","",MAX(0,D699-E699))</f>
      </c>
      <c r="G699" s="11"/>
      <c r="H699" s="3">
        <f>IF(B699="","",IF(C699="","כן","לא"))</f>
      </c>
      <c r="I699" s="3">
        <f>IF(B699="","",IF(D699=0,"כן","לא"))</f>
      </c>
      <c r="J699" s="3">
        <f>IF(B699="","",IF(F699&gt;0,"כן","לא"))</f>
      </c>
    </row>
    <row r="700" spans="1:10" x14ac:dyDescent="0.25">
      <c r="A700" s="11"/>
      <c r="B700" s="11"/>
      <c r="C700" s="11"/>
      <c r="D700" s="11"/>
      <c r="E700" s="11"/>
      <c r="F700" s="3">
        <f>IF(B700="","",MAX(0,D700-E700))</f>
      </c>
      <c r="G700" s="11"/>
      <c r="H700" s="3">
        <f>IF(B700="","",IF(C700="","כן","לא"))</f>
      </c>
      <c r="I700" s="3">
        <f>IF(B700="","",IF(D700=0,"כן","לא"))</f>
      </c>
      <c r="J700" s="3">
        <f>IF(B700="","",IF(F700&gt;0,"כן","לא"))</f>
      </c>
    </row>
    <row r="701" spans="1:10" x14ac:dyDescent="0.25">
      <c r="A701" s="11"/>
      <c r="B701" s="11"/>
      <c r="C701" s="11"/>
      <c r="D701" s="11"/>
      <c r="E701" s="11"/>
      <c r="F701" s="3">
        <f>IF(B701="","",MAX(0,D701-E701))</f>
      </c>
      <c r="G701" s="11"/>
      <c r="H701" s="3">
        <f>IF(B701="","",IF(C701="","כן","לא"))</f>
      </c>
      <c r="I701" s="3">
        <f>IF(B701="","",IF(D701=0,"כן","לא"))</f>
      </c>
      <c r="J701" s="3">
        <f>IF(B701="","",IF(F701&gt;0,"כן","לא"))</f>
      </c>
    </row>
    <row r="702" spans="1:10" x14ac:dyDescent="0.25">
      <c r="A702" s="11"/>
      <c r="B702" s="11"/>
      <c r="C702" s="11"/>
      <c r="D702" s="11"/>
      <c r="E702" s="11"/>
      <c r="F702" s="3">
        <f>IF(B702="","",MAX(0,D702-E702))</f>
      </c>
      <c r="G702" s="11"/>
      <c r="H702" s="3">
        <f>IF(B702="","",IF(C702="","כן","לא"))</f>
      </c>
      <c r="I702" s="3">
        <f>IF(B702="","",IF(D702=0,"כן","לא"))</f>
      </c>
      <c r="J702" s="3">
        <f>IF(B702="","",IF(F702&gt;0,"כן","לא"))</f>
      </c>
    </row>
    <row r="703" spans="1:10" x14ac:dyDescent="0.25">
      <c r="A703" s="11"/>
      <c r="B703" s="11"/>
      <c r="C703" s="11"/>
      <c r="D703" s="11"/>
      <c r="E703" s="11"/>
      <c r="F703" s="3">
        <f>IF(B703="","",MAX(0,D703-E703))</f>
      </c>
      <c r="G703" s="11"/>
      <c r="H703" s="3">
        <f>IF(B703="","",IF(C703="","כן","לא"))</f>
      </c>
      <c r="I703" s="3">
        <f>IF(B703="","",IF(D703=0,"כן","לא"))</f>
      </c>
      <c r="J703" s="3">
        <f>IF(B703="","",IF(F703&gt;0,"כן","לא"))</f>
      </c>
    </row>
    <row r="704" spans="1:10" x14ac:dyDescent="0.25">
      <c r="A704" s="11"/>
      <c r="B704" s="11"/>
      <c r="C704" s="11"/>
      <c r="D704" s="11"/>
      <c r="E704" s="11"/>
      <c r="F704" s="3">
        <f>IF(B704="","",MAX(0,D704-E704))</f>
      </c>
      <c r="G704" s="11"/>
      <c r="H704" s="3">
        <f>IF(B704="","",IF(C704="","כן","לא"))</f>
      </c>
      <c r="I704" s="3">
        <f>IF(B704="","",IF(D704=0,"כן","לא"))</f>
      </c>
      <c r="J704" s="3">
        <f>IF(B704="","",IF(F704&gt;0,"כן","לא"))</f>
      </c>
    </row>
    <row r="705" spans="1:10" x14ac:dyDescent="0.25">
      <c r="A705" s="11"/>
      <c r="B705" s="11"/>
      <c r="C705" s="11"/>
      <c r="D705" s="11"/>
      <c r="E705" s="11"/>
      <c r="F705" s="3">
        <f>IF(B705="","",MAX(0,D705-E705))</f>
      </c>
      <c r="G705" s="11"/>
      <c r="H705" s="3">
        <f>IF(B705="","",IF(C705="","כן","לא"))</f>
      </c>
      <c r="I705" s="3">
        <f>IF(B705="","",IF(D705=0,"כן","לא"))</f>
      </c>
      <c r="J705" s="3">
        <f>IF(B705="","",IF(F705&gt;0,"כן","לא"))</f>
      </c>
    </row>
    <row r="706" spans="1:10" x14ac:dyDescent="0.25">
      <c r="A706" s="11"/>
      <c r="B706" s="11"/>
      <c r="C706" s="11"/>
      <c r="D706" s="11"/>
      <c r="E706" s="11"/>
      <c r="F706" s="3">
        <f>IF(B706="","",MAX(0,D706-E706))</f>
      </c>
      <c r="G706" s="11"/>
      <c r="H706" s="3">
        <f>IF(B706="","",IF(C706="","כן","לא"))</f>
      </c>
      <c r="I706" s="3">
        <f>IF(B706="","",IF(D706=0,"כן","לא"))</f>
      </c>
      <c r="J706" s="3">
        <f>IF(B706="","",IF(F706&gt;0,"כן","לא"))</f>
      </c>
    </row>
    <row r="707" spans="1:10" x14ac:dyDescent="0.25">
      <c r="A707" s="11"/>
      <c r="B707" s="11"/>
      <c r="C707" s="11"/>
      <c r="D707" s="11"/>
      <c r="E707" s="11"/>
      <c r="F707" s="3">
        <f>IF(B707="","",MAX(0,D707-E707))</f>
      </c>
      <c r="G707" s="11"/>
      <c r="H707" s="3">
        <f>IF(B707="","",IF(C707="","כן","לא"))</f>
      </c>
      <c r="I707" s="3">
        <f>IF(B707="","",IF(D707=0,"כן","לא"))</f>
      </c>
      <c r="J707" s="3">
        <f>IF(B707="","",IF(F707&gt;0,"כן","לא"))</f>
      </c>
    </row>
    <row r="708" spans="1:10" x14ac:dyDescent="0.25">
      <c r="A708" s="11"/>
      <c r="B708" s="11"/>
      <c r="C708" s="11"/>
      <c r="D708" s="11"/>
      <c r="E708" s="11"/>
      <c r="F708" s="3">
        <f>IF(B708="","",MAX(0,D708-E708))</f>
      </c>
      <c r="G708" s="11"/>
      <c r="H708" s="3">
        <f>IF(B708="","",IF(C708="","כן","לא"))</f>
      </c>
      <c r="I708" s="3">
        <f>IF(B708="","",IF(D708=0,"כן","לא"))</f>
      </c>
      <c r="J708" s="3">
        <f>IF(B708="","",IF(F708&gt;0,"כן","לא"))</f>
      </c>
    </row>
    <row r="709" spans="1:10" x14ac:dyDescent="0.25">
      <c r="A709" s="11"/>
      <c r="B709" s="11"/>
      <c r="C709" s="11"/>
      <c r="D709" s="11"/>
      <c r="E709" s="11"/>
      <c r="F709" s="3">
        <f>IF(B709="","",MAX(0,D709-E709))</f>
      </c>
      <c r="G709" s="11"/>
      <c r="H709" s="3">
        <f>IF(B709="","",IF(C709="","כן","לא"))</f>
      </c>
      <c r="I709" s="3">
        <f>IF(B709="","",IF(D709=0,"כן","לא"))</f>
      </c>
      <c r="J709" s="3">
        <f>IF(B709="","",IF(F709&gt;0,"כן","לא"))</f>
      </c>
    </row>
    <row r="710" spans="1:10" x14ac:dyDescent="0.25">
      <c r="A710" s="11"/>
      <c r="B710" s="11"/>
      <c r="C710" s="11"/>
      <c r="D710" s="11"/>
      <c r="E710" s="11"/>
      <c r="F710" s="3">
        <f>IF(B710="","",MAX(0,D710-E710))</f>
      </c>
      <c r="G710" s="11"/>
      <c r="H710" s="3">
        <f>IF(B710="","",IF(C710="","כן","לא"))</f>
      </c>
      <c r="I710" s="3">
        <f>IF(B710="","",IF(D710=0,"כן","לא"))</f>
      </c>
      <c r="J710" s="3">
        <f>IF(B710="","",IF(F710&gt;0,"כן","לא"))</f>
      </c>
    </row>
    <row r="711" spans="1:10" x14ac:dyDescent="0.25">
      <c r="A711" s="11"/>
      <c r="B711" s="11"/>
      <c r="C711" s="11"/>
      <c r="D711" s="11"/>
      <c r="E711" s="11"/>
      <c r="F711" s="3">
        <f>IF(B711="","",MAX(0,D711-E711))</f>
      </c>
      <c r="G711" s="11"/>
      <c r="H711" s="3">
        <f>IF(B711="","",IF(C711="","כן","לא"))</f>
      </c>
      <c r="I711" s="3">
        <f>IF(B711="","",IF(D711=0,"כן","לא"))</f>
      </c>
      <c r="J711" s="3">
        <f>IF(B711="","",IF(F711&gt;0,"כן","לא"))</f>
      </c>
    </row>
    <row r="712" spans="1:10" x14ac:dyDescent="0.25">
      <c r="A712" s="11"/>
      <c r="B712" s="11"/>
      <c r="C712" s="11"/>
      <c r="D712" s="11"/>
      <c r="E712" s="11"/>
      <c r="F712" s="3">
        <f>IF(B712="","",MAX(0,D712-E712))</f>
      </c>
      <c r="G712" s="11"/>
      <c r="H712" s="3">
        <f>IF(B712="","",IF(C712="","כן","לא"))</f>
      </c>
      <c r="I712" s="3">
        <f>IF(B712="","",IF(D712=0,"כן","לא"))</f>
      </c>
      <c r="J712" s="3">
        <f>IF(B712="","",IF(F712&gt;0,"כן","לא"))</f>
      </c>
    </row>
    <row r="713" spans="1:10" x14ac:dyDescent="0.25">
      <c r="A713" s="11"/>
      <c r="B713" s="11"/>
      <c r="C713" s="11"/>
      <c r="D713" s="11"/>
      <c r="E713" s="11"/>
      <c r="F713" s="3">
        <f>IF(B713="","",MAX(0,D713-E713))</f>
      </c>
      <c r="G713" s="11"/>
      <c r="H713" s="3">
        <f>IF(B713="","",IF(C713="","כן","לא"))</f>
      </c>
      <c r="I713" s="3">
        <f>IF(B713="","",IF(D713=0,"כן","לא"))</f>
      </c>
      <c r="J713" s="3">
        <f>IF(B713="","",IF(F713&gt;0,"כן","לא"))</f>
      </c>
    </row>
    <row r="714" spans="1:10" x14ac:dyDescent="0.25">
      <c r="A714" s="11"/>
      <c r="B714" s="11"/>
      <c r="C714" s="11"/>
      <c r="D714" s="11"/>
      <c r="E714" s="11"/>
      <c r="F714" s="3">
        <f>IF(B714="","",MAX(0,D714-E714))</f>
      </c>
      <c r="G714" s="11"/>
      <c r="H714" s="3">
        <f>IF(B714="","",IF(C714="","כן","לא"))</f>
      </c>
      <c r="I714" s="3">
        <f>IF(B714="","",IF(D714=0,"כן","לא"))</f>
      </c>
      <c r="J714" s="3">
        <f>IF(B714="","",IF(F714&gt;0,"כן","לא"))</f>
      </c>
    </row>
    <row r="715" spans="1:10" x14ac:dyDescent="0.25">
      <c r="A715" s="11"/>
      <c r="B715" s="11"/>
      <c r="C715" s="11"/>
      <c r="D715" s="11"/>
      <c r="E715" s="11"/>
      <c r="F715" s="3">
        <f>IF(B715="","",MAX(0,D715-E715))</f>
      </c>
      <c r="G715" s="11"/>
      <c r="H715" s="3">
        <f>IF(B715="","",IF(C715="","כן","לא"))</f>
      </c>
      <c r="I715" s="3">
        <f>IF(B715="","",IF(D715=0,"כן","לא"))</f>
      </c>
      <c r="J715" s="3">
        <f>IF(B715="","",IF(F715&gt;0,"כן","לא"))</f>
      </c>
    </row>
    <row r="716" spans="1:10" x14ac:dyDescent="0.25">
      <c r="A716" s="11"/>
      <c r="B716" s="11"/>
      <c r="C716" s="11"/>
      <c r="D716" s="11"/>
      <c r="E716" s="11"/>
      <c r="F716" s="3">
        <f>IF(B716="","",MAX(0,D716-E716))</f>
      </c>
      <c r="G716" s="11"/>
      <c r="H716" s="3">
        <f>IF(B716="","",IF(C716="","כן","לא"))</f>
      </c>
      <c r="I716" s="3">
        <f>IF(B716="","",IF(D716=0,"כן","לא"))</f>
      </c>
      <c r="J716" s="3">
        <f>IF(B716="","",IF(F716&gt;0,"כן","לא"))</f>
      </c>
    </row>
    <row r="717" spans="1:10" x14ac:dyDescent="0.25">
      <c r="A717" s="11"/>
      <c r="B717" s="11"/>
      <c r="C717" s="11"/>
      <c r="D717" s="11"/>
      <c r="E717" s="11"/>
      <c r="F717" s="3">
        <f>IF(B717="","",MAX(0,D717-E717))</f>
      </c>
      <c r="G717" s="11"/>
      <c r="H717" s="3">
        <f>IF(B717="","",IF(C717="","כן","לא"))</f>
      </c>
      <c r="I717" s="3">
        <f>IF(B717="","",IF(D717=0,"כן","לא"))</f>
      </c>
      <c r="J717" s="3">
        <f>IF(B717="","",IF(F717&gt;0,"כן","לא"))</f>
      </c>
    </row>
    <row r="718" spans="1:10" x14ac:dyDescent="0.25">
      <c r="A718" s="11"/>
      <c r="B718" s="11"/>
      <c r="C718" s="11"/>
      <c r="D718" s="11"/>
      <c r="E718" s="11"/>
      <c r="F718" s="3">
        <f>IF(B718="","",MAX(0,D718-E718))</f>
      </c>
      <c r="G718" s="11"/>
      <c r="H718" s="3">
        <f>IF(B718="","",IF(C718="","כן","לא"))</f>
      </c>
      <c r="I718" s="3">
        <f>IF(B718="","",IF(D718=0,"כן","לא"))</f>
      </c>
      <c r="J718" s="3">
        <f>IF(B718="","",IF(F718&gt;0,"כן","לא"))</f>
      </c>
    </row>
    <row r="719" spans="1:10" x14ac:dyDescent="0.25">
      <c r="A719" s="11"/>
      <c r="B719" s="11"/>
      <c r="C719" s="11"/>
      <c r="D719" s="11"/>
      <c r="E719" s="11"/>
      <c r="F719" s="3">
        <f>IF(B719="","",MAX(0,D719-E719))</f>
      </c>
      <c r="G719" s="11"/>
      <c r="H719" s="3">
        <f>IF(B719="","",IF(C719="","כן","לא"))</f>
      </c>
      <c r="I719" s="3">
        <f>IF(B719="","",IF(D719=0,"כן","לא"))</f>
      </c>
      <c r="J719" s="3">
        <f>IF(B719="","",IF(F719&gt;0,"כן","לא"))</f>
      </c>
    </row>
    <row r="720" spans="1:10" x14ac:dyDescent="0.25">
      <c r="A720" s="11"/>
      <c r="B720" s="11"/>
      <c r="C720" s="11"/>
      <c r="D720" s="11"/>
      <c r="E720" s="11"/>
      <c r="F720" s="3">
        <f>IF(B720="","",MAX(0,D720-E720))</f>
      </c>
      <c r="G720" s="11"/>
      <c r="H720" s="3">
        <f>IF(B720="","",IF(C720="","כן","לא"))</f>
      </c>
      <c r="I720" s="3">
        <f>IF(B720="","",IF(D720=0,"כן","לא"))</f>
      </c>
      <c r="J720" s="3">
        <f>IF(B720="","",IF(F720&gt;0,"כן","לא"))</f>
      </c>
    </row>
    <row r="721" spans="1:10" x14ac:dyDescent="0.25">
      <c r="A721" s="11"/>
      <c r="B721" s="11"/>
      <c r="C721" s="11"/>
      <c r="D721" s="11"/>
      <c r="E721" s="11"/>
      <c r="F721" s="3">
        <f>IF(B721="","",MAX(0,D721-E721))</f>
      </c>
      <c r="G721" s="11"/>
      <c r="H721" s="3">
        <f>IF(B721="","",IF(C721="","כן","לא"))</f>
      </c>
      <c r="I721" s="3">
        <f>IF(B721="","",IF(D721=0,"כן","לא"))</f>
      </c>
      <c r="J721" s="3">
        <f>IF(B721="","",IF(F721&gt;0,"כן","לא"))</f>
      </c>
    </row>
    <row r="722" spans="1:10" x14ac:dyDescent="0.25">
      <c r="A722" s="11"/>
      <c r="B722" s="11"/>
      <c r="C722" s="11"/>
      <c r="D722" s="11"/>
      <c r="E722" s="11"/>
      <c r="F722" s="3">
        <f>IF(B722="","",MAX(0,D722-E722))</f>
      </c>
      <c r="G722" s="11"/>
      <c r="H722" s="3">
        <f>IF(B722="","",IF(C722="","כן","לא"))</f>
      </c>
      <c r="I722" s="3">
        <f>IF(B722="","",IF(D722=0,"כן","לא"))</f>
      </c>
      <c r="J722" s="3">
        <f>IF(B722="","",IF(F722&gt;0,"כן","לא"))</f>
      </c>
    </row>
    <row r="723" spans="1:10" x14ac:dyDescent="0.25">
      <c r="A723" s="11"/>
      <c r="B723" s="11"/>
      <c r="C723" s="11"/>
      <c r="D723" s="11"/>
      <c r="E723" s="11"/>
      <c r="F723" s="3">
        <f>IF(B723="","",MAX(0,D723-E723))</f>
      </c>
      <c r="G723" s="11"/>
      <c r="H723" s="3">
        <f>IF(B723="","",IF(C723="","כן","לא"))</f>
      </c>
      <c r="I723" s="3">
        <f>IF(B723="","",IF(D723=0,"כן","לא"))</f>
      </c>
      <c r="J723" s="3">
        <f>IF(B723="","",IF(F723&gt;0,"כן","לא"))</f>
      </c>
    </row>
    <row r="724" spans="1:10" x14ac:dyDescent="0.25">
      <c r="A724" s="11"/>
      <c r="B724" s="11"/>
      <c r="C724" s="11"/>
      <c r="D724" s="11"/>
      <c r="E724" s="11"/>
      <c r="F724" s="3">
        <f>IF(B724="","",MAX(0,D724-E724))</f>
      </c>
      <c r="G724" s="11"/>
      <c r="H724" s="3">
        <f>IF(B724="","",IF(C724="","כן","לא"))</f>
      </c>
      <c r="I724" s="3">
        <f>IF(B724="","",IF(D724=0,"כן","לא"))</f>
      </c>
      <c r="J724" s="3">
        <f>IF(B724="","",IF(F724&gt;0,"כן","לא"))</f>
      </c>
    </row>
    <row r="725" spans="1:10" x14ac:dyDescent="0.25">
      <c r="A725" s="11"/>
      <c r="B725" s="11"/>
      <c r="C725" s="11"/>
      <c r="D725" s="11"/>
      <c r="E725" s="11"/>
      <c r="F725" s="3">
        <f>IF(B725="","",MAX(0,D725-E725))</f>
      </c>
      <c r="G725" s="11"/>
      <c r="H725" s="3">
        <f>IF(B725="","",IF(C725="","כן","לא"))</f>
      </c>
      <c r="I725" s="3">
        <f>IF(B725="","",IF(D725=0,"כן","לא"))</f>
      </c>
      <c r="J725" s="3">
        <f>IF(B725="","",IF(F725&gt;0,"כן","לא"))</f>
      </c>
    </row>
    <row r="726" spans="1:10" x14ac:dyDescent="0.25">
      <c r="A726" s="11"/>
      <c r="B726" s="11"/>
      <c r="C726" s="11"/>
      <c r="D726" s="11"/>
      <c r="E726" s="11"/>
      <c r="F726" s="3">
        <f>IF(B726="","",MAX(0,D726-E726))</f>
      </c>
      <c r="G726" s="11"/>
      <c r="H726" s="3">
        <f>IF(B726="","",IF(C726="","כן","לא"))</f>
      </c>
      <c r="I726" s="3">
        <f>IF(B726="","",IF(D726=0,"כן","לא"))</f>
      </c>
      <c r="J726" s="3">
        <f>IF(B726="","",IF(F726&gt;0,"כן","לא"))</f>
      </c>
    </row>
    <row r="727" spans="1:10" x14ac:dyDescent="0.25">
      <c r="A727" s="11"/>
      <c r="B727" s="11"/>
      <c r="C727" s="11"/>
      <c r="D727" s="11"/>
      <c r="E727" s="11"/>
      <c r="F727" s="3">
        <f>IF(B727="","",MAX(0,D727-E727))</f>
      </c>
      <c r="G727" s="11"/>
      <c r="H727" s="3">
        <f>IF(B727="","",IF(C727="","כן","לא"))</f>
      </c>
      <c r="I727" s="3">
        <f>IF(B727="","",IF(D727=0,"כן","לא"))</f>
      </c>
      <c r="J727" s="3">
        <f>IF(B727="","",IF(F727&gt;0,"כן","לא"))</f>
      </c>
    </row>
    <row r="728" spans="1:10" x14ac:dyDescent="0.25">
      <c r="A728" s="11"/>
      <c r="B728" s="11"/>
      <c r="C728" s="11"/>
      <c r="D728" s="11"/>
      <c r="E728" s="11"/>
      <c r="F728" s="3">
        <f>IF(B728="","",MAX(0,D728-E728))</f>
      </c>
      <c r="G728" s="11"/>
      <c r="H728" s="3">
        <f>IF(B728="","",IF(C728="","כן","לא"))</f>
      </c>
      <c r="I728" s="3">
        <f>IF(B728="","",IF(D728=0,"כן","לא"))</f>
      </c>
      <c r="J728" s="3">
        <f>IF(B728="","",IF(F728&gt;0,"כן","לא"))</f>
      </c>
    </row>
    <row r="729" spans="1:10" x14ac:dyDescent="0.25">
      <c r="A729" s="11"/>
      <c r="B729" s="11"/>
      <c r="C729" s="11"/>
      <c r="D729" s="11"/>
      <c r="E729" s="11"/>
      <c r="F729" s="3">
        <f>IF(B729="","",MAX(0,D729-E729))</f>
      </c>
      <c r="G729" s="11"/>
      <c r="H729" s="3">
        <f>IF(B729="","",IF(C729="","כן","לא"))</f>
      </c>
      <c r="I729" s="3">
        <f>IF(B729="","",IF(D729=0,"כן","לא"))</f>
      </c>
      <c r="J729" s="3">
        <f>IF(B729="","",IF(F729&gt;0,"כן","לא"))</f>
      </c>
    </row>
    <row r="730" spans="1:10" x14ac:dyDescent="0.25">
      <c r="A730" s="11"/>
      <c r="B730" s="11"/>
      <c r="C730" s="11"/>
      <c r="D730" s="11"/>
      <c r="E730" s="11"/>
      <c r="F730" s="3">
        <f>IF(B730="","",MAX(0,D730-E730))</f>
      </c>
      <c r="G730" s="11"/>
      <c r="H730" s="3">
        <f>IF(B730="","",IF(C730="","כן","לא"))</f>
      </c>
      <c r="I730" s="3">
        <f>IF(B730="","",IF(D730=0,"כן","לא"))</f>
      </c>
      <c r="J730" s="3">
        <f>IF(B730="","",IF(F730&gt;0,"כן","לא"))</f>
      </c>
    </row>
    <row r="731" spans="1:10" x14ac:dyDescent="0.25">
      <c r="A731" s="11"/>
      <c r="B731" s="11"/>
      <c r="C731" s="11"/>
      <c r="D731" s="11"/>
      <c r="E731" s="11"/>
      <c r="F731" s="3">
        <f>IF(B731="","",MAX(0,D731-E731))</f>
      </c>
      <c r="G731" s="11"/>
      <c r="H731" s="3">
        <f>IF(B731="","",IF(C731="","כן","לא"))</f>
      </c>
      <c r="I731" s="3">
        <f>IF(B731="","",IF(D731=0,"כן","לא"))</f>
      </c>
      <c r="J731" s="3">
        <f>IF(B731="","",IF(F731&gt;0,"כן","לא"))</f>
      </c>
    </row>
    <row r="732" spans="1:10" x14ac:dyDescent="0.25">
      <c r="A732" s="11"/>
      <c r="B732" s="11"/>
      <c r="C732" s="11"/>
      <c r="D732" s="11"/>
      <c r="E732" s="11"/>
      <c r="F732" s="3">
        <f>IF(B732="","",MAX(0,D732-E732))</f>
      </c>
      <c r="G732" s="11"/>
      <c r="H732" s="3">
        <f>IF(B732="","",IF(C732="","כן","לא"))</f>
      </c>
      <c r="I732" s="3">
        <f>IF(B732="","",IF(D732=0,"כן","לא"))</f>
      </c>
      <c r="J732" s="3">
        <f>IF(B732="","",IF(F732&gt;0,"כן","לא"))</f>
      </c>
    </row>
    <row r="733" spans="1:10" x14ac:dyDescent="0.25">
      <c r="A733" s="11"/>
      <c r="B733" s="11"/>
      <c r="C733" s="11"/>
      <c r="D733" s="11"/>
      <c r="E733" s="11"/>
      <c r="F733" s="3">
        <f>IF(B733="","",MAX(0,D733-E733))</f>
      </c>
      <c r="G733" s="11"/>
      <c r="H733" s="3">
        <f>IF(B733="","",IF(C733="","כן","לא"))</f>
      </c>
      <c r="I733" s="3">
        <f>IF(B733="","",IF(D733=0,"כן","לא"))</f>
      </c>
      <c r="J733" s="3">
        <f>IF(B733="","",IF(F733&gt;0,"כן","לא"))</f>
      </c>
    </row>
    <row r="734" spans="1:10" x14ac:dyDescent="0.25">
      <c r="A734" s="11"/>
      <c r="B734" s="11"/>
      <c r="C734" s="11"/>
      <c r="D734" s="11"/>
      <c r="E734" s="11"/>
      <c r="F734" s="3">
        <f>IF(B734="","",MAX(0,D734-E734))</f>
      </c>
      <c r="G734" s="11"/>
      <c r="H734" s="3">
        <f>IF(B734="","",IF(C734="","כן","לא"))</f>
      </c>
      <c r="I734" s="3">
        <f>IF(B734="","",IF(D734=0,"כן","לא"))</f>
      </c>
      <c r="J734" s="3">
        <f>IF(B734="","",IF(F734&gt;0,"כן","לא"))</f>
      </c>
    </row>
    <row r="735" spans="1:10" x14ac:dyDescent="0.25">
      <c r="A735" s="11"/>
      <c r="B735" s="11"/>
      <c r="C735" s="11"/>
      <c r="D735" s="11"/>
      <c r="E735" s="11"/>
      <c r="F735" s="3">
        <f>IF(B735="","",MAX(0,D735-E735))</f>
      </c>
      <c r="G735" s="11"/>
      <c r="H735" s="3">
        <f>IF(B735="","",IF(C735="","כן","לא"))</f>
      </c>
      <c r="I735" s="3">
        <f>IF(B735="","",IF(D735=0,"כן","לא"))</f>
      </c>
      <c r="J735" s="3">
        <f>IF(B735="","",IF(F735&gt;0,"כן","לא"))</f>
      </c>
    </row>
    <row r="736" spans="1:10" x14ac:dyDescent="0.25">
      <c r="A736" s="11"/>
      <c r="B736" s="11"/>
      <c r="C736" s="11"/>
      <c r="D736" s="11"/>
      <c r="E736" s="11"/>
      <c r="F736" s="3">
        <f>IF(B736="","",MAX(0,D736-E736))</f>
      </c>
      <c r="G736" s="11"/>
      <c r="H736" s="3">
        <f>IF(B736="","",IF(C736="","כן","לא"))</f>
      </c>
      <c r="I736" s="3">
        <f>IF(B736="","",IF(D736=0,"כן","לא"))</f>
      </c>
      <c r="J736" s="3">
        <f>IF(B736="","",IF(F736&gt;0,"כן","לא"))</f>
      </c>
    </row>
    <row r="737" spans="1:10" x14ac:dyDescent="0.25">
      <c r="A737" s="11"/>
      <c r="B737" s="11"/>
      <c r="C737" s="11"/>
      <c r="D737" s="11"/>
      <c r="E737" s="11"/>
      <c r="F737" s="3">
        <f>IF(B737="","",MAX(0,D737-E737))</f>
      </c>
      <c r="G737" s="11"/>
      <c r="H737" s="3">
        <f>IF(B737="","",IF(C737="","כן","לא"))</f>
      </c>
      <c r="I737" s="3">
        <f>IF(B737="","",IF(D737=0,"כן","לא"))</f>
      </c>
      <c r="J737" s="3">
        <f>IF(B737="","",IF(F737&gt;0,"כן","לא"))</f>
      </c>
    </row>
    <row r="738" spans="1:10" x14ac:dyDescent="0.25">
      <c r="A738" s="11"/>
      <c r="B738" s="11"/>
      <c r="C738" s="11"/>
      <c r="D738" s="11"/>
      <c r="E738" s="11"/>
      <c r="F738" s="3">
        <f>IF(B738="","",MAX(0,D738-E738))</f>
      </c>
      <c r="G738" s="11"/>
      <c r="H738" s="3">
        <f>IF(B738="","",IF(C738="","כן","לא"))</f>
      </c>
      <c r="I738" s="3">
        <f>IF(B738="","",IF(D738=0,"כן","לא"))</f>
      </c>
      <c r="J738" s="3">
        <f>IF(B738="","",IF(F738&gt;0,"כן","לא"))</f>
      </c>
    </row>
    <row r="739" spans="1:10" x14ac:dyDescent="0.25">
      <c r="A739" s="11"/>
      <c r="B739" s="11"/>
      <c r="C739" s="11"/>
      <c r="D739" s="11"/>
      <c r="E739" s="11"/>
      <c r="F739" s="3">
        <f>IF(B739="","",MAX(0,D739-E739))</f>
      </c>
      <c r="G739" s="11"/>
      <c r="H739" s="3">
        <f>IF(B739="","",IF(C739="","כן","לא"))</f>
      </c>
      <c r="I739" s="3">
        <f>IF(B739="","",IF(D739=0,"כן","לא"))</f>
      </c>
      <c r="J739" s="3">
        <f>IF(B739="","",IF(F739&gt;0,"כן","לא"))</f>
      </c>
    </row>
    <row r="740" spans="1:10" x14ac:dyDescent="0.25">
      <c r="A740" s="11"/>
      <c r="B740" s="11"/>
      <c r="C740" s="11"/>
      <c r="D740" s="11"/>
      <c r="E740" s="11"/>
      <c r="F740" s="3">
        <f>IF(B740="","",MAX(0,D740-E740))</f>
      </c>
      <c r="G740" s="11"/>
      <c r="H740" s="3">
        <f>IF(B740="","",IF(C740="","כן","לא"))</f>
      </c>
      <c r="I740" s="3">
        <f>IF(B740="","",IF(D740=0,"כן","לא"))</f>
      </c>
      <c r="J740" s="3">
        <f>IF(B740="","",IF(F740&gt;0,"כן","לא"))</f>
      </c>
    </row>
    <row r="741" spans="1:10" x14ac:dyDescent="0.25">
      <c r="A741" s="11"/>
      <c r="B741" s="11"/>
      <c r="C741" s="11"/>
      <c r="D741" s="11"/>
      <c r="E741" s="11"/>
      <c r="F741" s="3">
        <f>IF(B741="","",MAX(0,D741-E741))</f>
      </c>
      <c r="G741" s="11"/>
      <c r="H741" s="3">
        <f>IF(B741="","",IF(C741="","כן","לא"))</f>
      </c>
      <c r="I741" s="3">
        <f>IF(B741="","",IF(D741=0,"כן","לא"))</f>
      </c>
      <c r="J741" s="3">
        <f>IF(B741="","",IF(F741&gt;0,"כן","לא"))</f>
      </c>
    </row>
    <row r="742" spans="1:10" x14ac:dyDescent="0.25">
      <c r="A742" s="11"/>
      <c r="B742" s="11"/>
      <c r="C742" s="11"/>
      <c r="D742" s="11"/>
      <c r="E742" s="11"/>
      <c r="F742" s="3">
        <f>IF(B742="","",MAX(0,D742-E742))</f>
      </c>
      <c r="G742" s="11"/>
      <c r="H742" s="3">
        <f>IF(B742="","",IF(C742="","כן","לא"))</f>
      </c>
      <c r="I742" s="3">
        <f>IF(B742="","",IF(D742=0,"כן","לא"))</f>
      </c>
      <c r="J742" s="3">
        <f>IF(B742="","",IF(F742&gt;0,"כן","לא"))</f>
      </c>
    </row>
    <row r="743" spans="1:10" x14ac:dyDescent="0.25">
      <c r="A743" s="11"/>
      <c r="B743" s="11"/>
      <c r="C743" s="11"/>
      <c r="D743" s="11"/>
      <c r="E743" s="11"/>
      <c r="F743" s="3">
        <f>IF(B743="","",MAX(0,D743-E743))</f>
      </c>
      <c r="G743" s="11"/>
      <c r="H743" s="3">
        <f>IF(B743="","",IF(C743="","כן","לא"))</f>
      </c>
      <c r="I743" s="3">
        <f>IF(B743="","",IF(D743=0,"כן","לא"))</f>
      </c>
      <c r="J743" s="3">
        <f>IF(B743="","",IF(F743&gt;0,"כן","לא"))</f>
      </c>
    </row>
    <row r="744" spans="1:10" x14ac:dyDescent="0.25">
      <c r="A744" s="11"/>
      <c r="B744" s="11"/>
      <c r="C744" s="11"/>
      <c r="D744" s="11"/>
      <c r="E744" s="11"/>
      <c r="F744" s="3">
        <f>IF(B744="","",MAX(0,D744-E744))</f>
      </c>
      <c r="G744" s="11"/>
      <c r="H744" s="3">
        <f>IF(B744="","",IF(C744="","כן","לא"))</f>
      </c>
      <c r="I744" s="3">
        <f>IF(B744="","",IF(D744=0,"כן","לא"))</f>
      </c>
      <c r="J744" s="3">
        <f>IF(B744="","",IF(F744&gt;0,"כן","לא"))</f>
      </c>
    </row>
    <row r="745" spans="1:10" x14ac:dyDescent="0.25">
      <c r="A745" s="11"/>
      <c r="B745" s="11"/>
      <c r="C745" s="11"/>
      <c r="D745" s="11"/>
      <c r="E745" s="11"/>
      <c r="F745" s="3">
        <f>IF(B745="","",MAX(0,D745-E745))</f>
      </c>
      <c r="G745" s="11"/>
      <c r="H745" s="3">
        <f>IF(B745="","",IF(C745="","כן","לא"))</f>
      </c>
      <c r="I745" s="3">
        <f>IF(B745="","",IF(D745=0,"כן","לא"))</f>
      </c>
      <c r="J745" s="3">
        <f>IF(B745="","",IF(F745&gt;0,"כן","לא"))</f>
      </c>
    </row>
    <row r="746" spans="1:10" x14ac:dyDescent="0.25">
      <c r="A746" s="11"/>
      <c r="B746" s="11"/>
      <c r="C746" s="11"/>
      <c r="D746" s="11"/>
      <c r="E746" s="11"/>
      <c r="F746" s="3">
        <f>IF(B746="","",MAX(0,D746-E746))</f>
      </c>
      <c r="G746" s="11"/>
      <c r="H746" s="3">
        <f>IF(B746="","",IF(C746="","כן","לא"))</f>
      </c>
      <c r="I746" s="3">
        <f>IF(B746="","",IF(D746=0,"כן","לא"))</f>
      </c>
      <c r="J746" s="3">
        <f>IF(B746="","",IF(F746&gt;0,"כן","לא"))</f>
      </c>
    </row>
    <row r="747" spans="1:10" x14ac:dyDescent="0.25">
      <c r="A747" s="11"/>
      <c r="B747" s="11"/>
      <c r="C747" s="11"/>
      <c r="D747" s="11"/>
      <c r="E747" s="11"/>
      <c r="F747" s="3">
        <f>IF(B747="","",MAX(0,D747-E747))</f>
      </c>
      <c r="G747" s="11"/>
      <c r="H747" s="3">
        <f>IF(B747="","",IF(C747="","כן","לא"))</f>
      </c>
      <c r="I747" s="3">
        <f>IF(B747="","",IF(D747=0,"כן","לא"))</f>
      </c>
      <c r="J747" s="3">
        <f>IF(B747="","",IF(F747&gt;0,"כן","לא"))</f>
      </c>
    </row>
    <row r="748" spans="1:10" x14ac:dyDescent="0.25">
      <c r="A748" s="11"/>
      <c r="B748" s="11"/>
      <c r="C748" s="11"/>
      <c r="D748" s="11"/>
      <c r="E748" s="11"/>
      <c r="F748" s="3">
        <f>IF(B748="","",MAX(0,D748-E748))</f>
      </c>
      <c r="G748" s="11"/>
      <c r="H748" s="3">
        <f>IF(B748="","",IF(C748="","כן","לא"))</f>
      </c>
      <c r="I748" s="3">
        <f>IF(B748="","",IF(D748=0,"כן","לא"))</f>
      </c>
      <c r="J748" s="3">
        <f>IF(B748="","",IF(F748&gt;0,"כן","לא"))</f>
      </c>
    </row>
    <row r="749" spans="1:10" x14ac:dyDescent="0.25">
      <c r="A749" s="11"/>
      <c r="B749" s="11"/>
      <c r="C749" s="11"/>
      <c r="D749" s="11"/>
      <c r="E749" s="11"/>
      <c r="F749" s="3">
        <f>IF(B749="","",MAX(0,D749-E749))</f>
      </c>
      <c r="G749" s="11"/>
      <c r="H749" s="3">
        <f>IF(B749="","",IF(C749="","כן","לא"))</f>
      </c>
      <c r="I749" s="3">
        <f>IF(B749="","",IF(D749=0,"כן","לא"))</f>
      </c>
      <c r="J749" s="3">
        <f>IF(B749="","",IF(F749&gt;0,"כן","לא"))</f>
      </c>
    </row>
    <row r="750" spans="1:10" x14ac:dyDescent="0.25">
      <c r="A750" s="11"/>
      <c r="B750" s="11"/>
      <c r="C750" s="11"/>
      <c r="D750" s="11"/>
      <c r="E750" s="11"/>
      <c r="F750" s="3">
        <f>IF(B750="","",MAX(0,D750-E750))</f>
      </c>
      <c r="G750" s="11"/>
      <c r="H750" s="3">
        <f>IF(B750="","",IF(C750="","כן","לא"))</f>
      </c>
      <c r="I750" s="3">
        <f>IF(B750="","",IF(D750=0,"כן","לא"))</f>
      </c>
      <c r="J750" s="3">
        <f>IF(B750="","",IF(F750&gt;0,"כן","לא"))</f>
      </c>
    </row>
    <row r="751" spans="1:10" x14ac:dyDescent="0.25">
      <c r="A751" s="11"/>
      <c r="B751" s="11"/>
      <c r="C751" s="11"/>
      <c r="D751" s="11"/>
      <c r="E751" s="11"/>
      <c r="F751" s="3">
        <f>IF(B751="","",MAX(0,D751-E751))</f>
      </c>
      <c r="G751" s="11"/>
      <c r="H751" s="3">
        <f>IF(B751="","",IF(C751="","כן","לא"))</f>
      </c>
      <c r="I751" s="3">
        <f>IF(B751="","",IF(D751=0,"כן","לא"))</f>
      </c>
      <c r="J751" s="3">
        <f>IF(B751="","",IF(F751&gt;0,"כן","לא"))</f>
      </c>
    </row>
    <row r="752" spans="1:10" x14ac:dyDescent="0.25">
      <c r="A752" s="11"/>
      <c r="B752" s="11"/>
      <c r="C752" s="11"/>
      <c r="D752" s="11"/>
      <c r="E752" s="11"/>
      <c r="F752" s="3">
        <f>IF(B752="","",MAX(0,D752-E752))</f>
      </c>
      <c r="G752" s="11"/>
      <c r="H752" s="3">
        <f>IF(B752="","",IF(C752="","כן","לא"))</f>
      </c>
      <c r="I752" s="3">
        <f>IF(B752="","",IF(D752=0,"כן","לא"))</f>
      </c>
      <c r="J752" s="3">
        <f>IF(B752="","",IF(F752&gt;0,"כן","לא"))</f>
      </c>
    </row>
    <row r="753" spans="1:10" x14ac:dyDescent="0.25">
      <c r="A753" s="11"/>
      <c r="B753" s="11"/>
      <c r="C753" s="11"/>
      <c r="D753" s="11"/>
      <c r="E753" s="11"/>
      <c r="F753" s="3">
        <f>IF(B753="","",MAX(0,D753-E753))</f>
      </c>
      <c r="G753" s="11"/>
      <c r="H753" s="3">
        <f>IF(B753="","",IF(C753="","כן","לא"))</f>
      </c>
      <c r="I753" s="3">
        <f>IF(B753="","",IF(D753=0,"כן","לא"))</f>
      </c>
      <c r="J753" s="3">
        <f>IF(B753="","",IF(F753&gt;0,"כן","לא"))</f>
      </c>
    </row>
    <row r="754" spans="1:10" x14ac:dyDescent="0.25">
      <c r="A754" s="11"/>
      <c r="B754" s="11"/>
      <c r="C754" s="11"/>
      <c r="D754" s="11"/>
      <c r="E754" s="11"/>
      <c r="F754" s="3">
        <f>IF(B754="","",MAX(0,D754-E754))</f>
      </c>
      <c r="G754" s="11"/>
      <c r="H754" s="3">
        <f>IF(B754="","",IF(C754="","כן","לא"))</f>
      </c>
      <c r="I754" s="3">
        <f>IF(B754="","",IF(D754=0,"כן","לא"))</f>
      </c>
      <c r="J754" s="3">
        <f>IF(B754="","",IF(F754&gt;0,"כן","לא"))</f>
      </c>
    </row>
    <row r="755" spans="1:10" x14ac:dyDescent="0.25">
      <c r="A755" s="11"/>
      <c r="B755" s="11"/>
      <c r="C755" s="11"/>
      <c r="D755" s="11"/>
      <c r="E755" s="11"/>
      <c r="F755" s="3">
        <f>IF(B755="","",MAX(0,D755-E755))</f>
      </c>
      <c r="G755" s="11"/>
      <c r="H755" s="3">
        <f>IF(B755="","",IF(C755="","כן","לא"))</f>
      </c>
      <c r="I755" s="3">
        <f>IF(B755="","",IF(D755=0,"כן","לא"))</f>
      </c>
      <c r="J755" s="3">
        <f>IF(B755="","",IF(F755&gt;0,"כן","לא"))</f>
      </c>
    </row>
    <row r="756" spans="1:10" x14ac:dyDescent="0.25">
      <c r="A756" s="11"/>
      <c r="B756" s="11"/>
      <c r="C756" s="11"/>
      <c r="D756" s="11"/>
      <c r="E756" s="11"/>
      <c r="F756" s="3">
        <f>IF(B756="","",MAX(0,D756-E756))</f>
      </c>
      <c r="G756" s="11"/>
      <c r="H756" s="3">
        <f>IF(B756="","",IF(C756="","כן","לא"))</f>
      </c>
      <c r="I756" s="3">
        <f>IF(B756="","",IF(D756=0,"כן","לא"))</f>
      </c>
      <c r="J756" s="3">
        <f>IF(B756="","",IF(F756&gt;0,"כן","לא"))</f>
      </c>
    </row>
    <row r="757" spans="1:10" x14ac:dyDescent="0.25">
      <c r="A757" s="11"/>
      <c r="B757" s="11"/>
      <c r="C757" s="11"/>
      <c r="D757" s="11"/>
      <c r="E757" s="11"/>
      <c r="F757" s="3">
        <f>IF(B757="","",MAX(0,D757-E757))</f>
      </c>
      <c r="G757" s="11"/>
      <c r="H757" s="3">
        <f>IF(B757="","",IF(C757="","כן","לא"))</f>
      </c>
      <c r="I757" s="3">
        <f>IF(B757="","",IF(D757=0,"כן","לא"))</f>
      </c>
      <c r="J757" s="3">
        <f>IF(B757="","",IF(F757&gt;0,"כן","לא"))</f>
      </c>
    </row>
    <row r="758" spans="1:10" x14ac:dyDescent="0.25">
      <c r="A758" s="11"/>
      <c r="B758" s="11"/>
      <c r="C758" s="11"/>
      <c r="D758" s="11"/>
      <c r="E758" s="11"/>
      <c r="F758" s="3">
        <f>IF(B758="","",MAX(0,D758-E758))</f>
      </c>
      <c r="G758" s="11"/>
      <c r="H758" s="3">
        <f>IF(B758="","",IF(C758="","כן","לא"))</f>
      </c>
      <c r="I758" s="3">
        <f>IF(B758="","",IF(D758=0,"כן","לא"))</f>
      </c>
      <c r="J758" s="3">
        <f>IF(B758="","",IF(F758&gt;0,"כן","לא"))</f>
      </c>
    </row>
    <row r="759" spans="1:10" x14ac:dyDescent="0.25">
      <c r="A759" s="11"/>
      <c r="B759" s="11"/>
      <c r="C759" s="11"/>
      <c r="D759" s="11"/>
      <c r="E759" s="11"/>
      <c r="F759" s="3">
        <f>IF(B759="","",MAX(0,D759-E759))</f>
      </c>
      <c r="G759" s="11"/>
      <c r="H759" s="3">
        <f>IF(B759="","",IF(C759="","כן","לא"))</f>
      </c>
      <c r="I759" s="3">
        <f>IF(B759="","",IF(D759=0,"כן","לא"))</f>
      </c>
      <c r="J759" s="3">
        <f>IF(B759="","",IF(F759&gt;0,"כן","לא"))</f>
      </c>
    </row>
    <row r="760" spans="1:10" x14ac:dyDescent="0.25">
      <c r="A760" s="11"/>
      <c r="B760" s="11"/>
      <c r="C760" s="11"/>
      <c r="D760" s="11"/>
      <c r="E760" s="11"/>
      <c r="F760" s="3">
        <f>IF(B760="","",MAX(0,D760-E760))</f>
      </c>
      <c r="G760" s="11"/>
      <c r="H760" s="3">
        <f>IF(B760="","",IF(C760="","כן","לא"))</f>
      </c>
      <c r="I760" s="3">
        <f>IF(B760="","",IF(D760=0,"כן","לא"))</f>
      </c>
      <c r="J760" s="3">
        <f>IF(B760="","",IF(F760&gt;0,"כן","לא"))</f>
      </c>
    </row>
    <row r="761" spans="1:10" x14ac:dyDescent="0.25">
      <c r="A761" s="11"/>
      <c r="B761" s="11"/>
      <c r="C761" s="11"/>
      <c r="D761" s="11"/>
      <c r="E761" s="11"/>
      <c r="F761" s="3">
        <f>IF(B761="","",MAX(0,D761-E761))</f>
      </c>
      <c r="G761" s="11"/>
      <c r="H761" s="3">
        <f>IF(B761="","",IF(C761="","כן","לא"))</f>
      </c>
      <c r="I761" s="3">
        <f>IF(B761="","",IF(D761=0,"כן","לא"))</f>
      </c>
      <c r="J761" s="3">
        <f>IF(B761="","",IF(F761&gt;0,"כן","לא"))</f>
      </c>
    </row>
    <row r="762" spans="1:10" x14ac:dyDescent="0.25">
      <c r="A762" s="11"/>
      <c r="B762" s="11"/>
      <c r="C762" s="11"/>
      <c r="D762" s="11"/>
      <c r="E762" s="11"/>
      <c r="F762" s="3">
        <f>IF(B762="","",MAX(0,D762-E762))</f>
      </c>
      <c r="G762" s="11"/>
      <c r="H762" s="3">
        <f>IF(B762="","",IF(C762="","כן","לא"))</f>
      </c>
      <c r="I762" s="3">
        <f>IF(B762="","",IF(D762=0,"כן","לא"))</f>
      </c>
      <c r="J762" s="3">
        <f>IF(B762="","",IF(F762&gt;0,"כן","לא"))</f>
      </c>
    </row>
    <row r="763" spans="1:10" x14ac:dyDescent="0.25">
      <c r="A763" s="11"/>
      <c r="B763" s="11"/>
      <c r="C763" s="11"/>
      <c r="D763" s="11"/>
      <c r="E763" s="11"/>
      <c r="F763" s="3">
        <f>IF(B763="","",MAX(0,D763-E763))</f>
      </c>
      <c r="G763" s="11"/>
      <c r="H763" s="3">
        <f>IF(B763="","",IF(C763="","כן","לא"))</f>
      </c>
      <c r="I763" s="3">
        <f>IF(B763="","",IF(D763=0,"כן","לא"))</f>
      </c>
      <c r="J763" s="3">
        <f>IF(B763="","",IF(F763&gt;0,"כן","לא"))</f>
      </c>
    </row>
    <row r="764" spans="1:10" x14ac:dyDescent="0.25">
      <c r="A764" s="11"/>
      <c r="B764" s="11"/>
      <c r="C764" s="11"/>
      <c r="D764" s="11"/>
      <c r="E764" s="11"/>
      <c r="F764" s="3">
        <f>IF(B764="","",MAX(0,D764-E764))</f>
      </c>
      <c r="G764" s="11"/>
      <c r="H764" s="3">
        <f>IF(B764="","",IF(C764="","כן","לא"))</f>
      </c>
      <c r="I764" s="3">
        <f>IF(B764="","",IF(D764=0,"כן","לא"))</f>
      </c>
      <c r="J764" s="3">
        <f>IF(B764="","",IF(F764&gt;0,"כן","לא"))</f>
      </c>
    </row>
    <row r="765" spans="1:10" x14ac:dyDescent="0.25">
      <c r="A765" s="11"/>
      <c r="B765" s="11"/>
      <c r="C765" s="11"/>
      <c r="D765" s="11"/>
      <c r="E765" s="11"/>
      <c r="F765" s="3">
        <f>IF(B765="","",MAX(0,D765-E765))</f>
      </c>
      <c r="G765" s="11"/>
      <c r="H765" s="3">
        <f>IF(B765="","",IF(C765="","כן","לא"))</f>
      </c>
      <c r="I765" s="3">
        <f>IF(B765="","",IF(D765=0,"כן","לא"))</f>
      </c>
      <c r="J765" s="3">
        <f>IF(B765="","",IF(F765&gt;0,"כן","לא"))</f>
      </c>
    </row>
    <row r="766" spans="1:10" x14ac:dyDescent="0.25">
      <c r="A766" s="11"/>
      <c r="B766" s="11"/>
      <c r="C766" s="11"/>
      <c r="D766" s="11"/>
      <c r="E766" s="11"/>
      <c r="F766" s="3">
        <f>IF(B766="","",MAX(0,D766-E766))</f>
      </c>
      <c r="G766" s="11"/>
      <c r="H766" s="3">
        <f>IF(B766="","",IF(C766="","כן","לא"))</f>
      </c>
      <c r="I766" s="3">
        <f>IF(B766="","",IF(D766=0,"כן","לא"))</f>
      </c>
      <c r="J766" s="3">
        <f>IF(B766="","",IF(F766&gt;0,"כן","לא"))</f>
      </c>
    </row>
    <row r="767" spans="1:10" x14ac:dyDescent="0.25">
      <c r="A767" s="11"/>
      <c r="B767" s="11"/>
      <c r="C767" s="11"/>
      <c r="D767" s="11"/>
      <c r="E767" s="11"/>
      <c r="F767" s="3">
        <f>IF(B767="","",MAX(0,D767-E767))</f>
      </c>
      <c r="G767" s="11"/>
      <c r="H767" s="3">
        <f>IF(B767="","",IF(C767="","כן","לא"))</f>
      </c>
      <c r="I767" s="3">
        <f>IF(B767="","",IF(D767=0,"כן","לא"))</f>
      </c>
      <c r="J767" s="3">
        <f>IF(B767="","",IF(F767&gt;0,"כן","לא"))</f>
      </c>
    </row>
    <row r="768" spans="1:10" x14ac:dyDescent="0.25">
      <c r="A768" s="11"/>
      <c r="B768" s="11"/>
      <c r="C768" s="11"/>
      <c r="D768" s="11"/>
      <c r="E768" s="11"/>
      <c r="F768" s="3">
        <f>IF(B768="","",MAX(0,D768-E768))</f>
      </c>
      <c r="G768" s="11"/>
      <c r="H768" s="3">
        <f>IF(B768="","",IF(C768="","כן","לא"))</f>
      </c>
      <c r="I768" s="3">
        <f>IF(B768="","",IF(D768=0,"כן","לא"))</f>
      </c>
      <c r="J768" s="3">
        <f>IF(B768="","",IF(F768&gt;0,"כן","לא"))</f>
      </c>
    </row>
    <row r="769" spans="1:10" x14ac:dyDescent="0.25">
      <c r="A769" s="11"/>
      <c r="B769" s="11"/>
      <c r="C769" s="11"/>
      <c r="D769" s="11"/>
      <c r="E769" s="11"/>
      <c r="F769" s="3">
        <f>IF(B769="","",MAX(0,D769-E769))</f>
      </c>
      <c r="G769" s="11"/>
      <c r="H769" s="3">
        <f>IF(B769="","",IF(C769="","כן","לא"))</f>
      </c>
      <c r="I769" s="3">
        <f>IF(B769="","",IF(D769=0,"כן","לא"))</f>
      </c>
      <c r="J769" s="3">
        <f>IF(B769="","",IF(F769&gt;0,"כן","לא"))</f>
      </c>
    </row>
    <row r="770" spans="1:10" x14ac:dyDescent="0.25">
      <c r="A770" s="11"/>
      <c r="B770" s="11"/>
      <c r="C770" s="11"/>
      <c r="D770" s="11"/>
      <c r="E770" s="11"/>
      <c r="F770" s="3">
        <f>IF(B770="","",MAX(0,D770-E770))</f>
      </c>
      <c r="G770" s="11"/>
      <c r="H770" s="3">
        <f>IF(B770="","",IF(C770="","כן","לא"))</f>
      </c>
      <c r="I770" s="3">
        <f>IF(B770="","",IF(D770=0,"כן","לא"))</f>
      </c>
      <c r="J770" s="3">
        <f>IF(B770="","",IF(F770&gt;0,"כן","לא"))</f>
      </c>
    </row>
    <row r="771" spans="1:10" x14ac:dyDescent="0.25">
      <c r="A771" s="11"/>
      <c r="B771" s="11"/>
      <c r="C771" s="11"/>
      <c r="D771" s="11"/>
      <c r="E771" s="11"/>
      <c r="F771" s="3">
        <f>IF(B771="","",MAX(0,D771-E771))</f>
      </c>
      <c r="G771" s="11"/>
      <c r="H771" s="3">
        <f>IF(B771="","",IF(C771="","כן","לא"))</f>
      </c>
      <c r="I771" s="3">
        <f>IF(B771="","",IF(D771=0,"כן","לא"))</f>
      </c>
      <c r="J771" s="3">
        <f>IF(B771="","",IF(F771&gt;0,"כן","לא"))</f>
      </c>
    </row>
    <row r="772" spans="1:10" x14ac:dyDescent="0.25">
      <c r="A772" s="11"/>
      <c r="B772" s="11"/>
      <c r="C772" s="11"/>
      <c r="D772" s="11"/>
      <c r="E772" s="11"/>
      <c r="F772" s="3">
        <f>IF(B772="","",MAX(0,D772-E772))</f>
      </c>
      <c r="G772" s="11"/>
      <c r="H772" s="3">
        <f>IF(B772="","",IF(C772="","כן","לא"))</f>
      </c>
      <c r="I772" s="3">
        <f>IF(B772="","",IF(D772=0,"כן","לא"))</f>
      </c>
      <c r="J772" s="3">
        <f>IF(B772="","",IF(F772&gt;0,"כן","לא"))</f>
      </c>
    </row>
    <row r="773" spans="1:10" x14ac:dyDescent="0.25">
      <c r="A773" s="11"/>
      <c r="B773" s="11"/>
      <c r="C773" s="11"/>
      <c r="D773" s="11"/>
      <c r="E773" s="11"/>
      <c r="F773" s="3">
        <f>IF(B773="","",MAX(0,D773-E773))</f>
      </c>
      <c r="G773" s="11"/>
      <c r="H773" s="3">
        <f>IF(B773="","",IF(C773="","כן","לא"))</f>
      </c>
      <c r="I773" s="3">
        <f>IF(B773="","",IF(D773=0,"כן","לא"))</f>
      </c>
      <c r="J773" s="3">
        <f>IF(B773="","",IF(F773&gt;0,"כן","לא"))</f>
      </c>
    </row>
    <row r="774" spans="1:10" x14ac:dyDescent="0.25">
      <c r="A774" s="11"/>
      <c r="B774" s="11"/>
      <c r="C774" s="11"/>
      <c r="D774" s="11"/>
      <c r="E774" s="11"/>
      <c r="F774" s="3">
        <f>IF(B774="","",MAX(0,D774-E774))</f>
      </c>
      <c r="G774" s="11"/>
      <c r="H774" s="3">
        <f>IF(B774="","",IF(C774="","כן","לא"))</f>
      </c>
      <c r="I774" s="3">
        <f>IF(B774="","",IF(D774=0,"כן","לא"))</f>
      </c>
      <c r="J774" s="3">
        <f>IF(B774="","",IF(F774&gt;0,"כן","לא"))</f>
      </c>
    </row>
    <row r="775" spans="1:10" x14ac:dyDescent="0.25">
      <c r="A775" s="11"/>
      <c r="B775" s="11"/>
      <c r="C775" s="11"/>
      <c r="D775" s="11"/>
      <c r="E775" s="11"/>
      <c r="F775" s="3">
        <f>IF(B775="","",MAX(0,D775-E775))</f>
      </c>
      <c r="G775" s="11"/>
      <c r="H775" s="3">
        <f>IF(B775="","",IF(C775="","כן","לא"))</f>
      </c>
      <c r="I775" s="3">
        <f>IF(B775="","",IF(D775=0,"כן","לא"))</f>
      </c>
      <c r="J775" s="3">
        <f>IF(B775="","",IF(F775&gt;0,"כן","לא"))</f>
      </c>
    </row>
    <row r="776" spans="1:10" x14ac:dyDescent="0.25">
      <c r="A776" s="11"/>
      <c r="B776" s="11"/>
      <c r="C776" s="11"/>
      <c r="D776" s="11"/>
      <c r="E776" s="11"/>
      <c r="F776" s="3">
        <f>IF(B776="","",MAX(0,D776-E776))</f>
      </c>
      <c r="G776" s="11"/>
      <c r="H776" s="3">
        <f>IF(B776="","",IF(C776="","כן","לא"))</f>
      </c>
      <c r="I776" s="3">
        <f>IF(B776="","",IF(D776=0,"כן","לא"))</f>
      </c>
      <c r="J776" s="3">
        <f>IF(B776="","",IF(F776&gt;0,"כן","לא"))</f>
      </c>
    </row>
    <row r="777" spans="1:10" x14ac:dyDescent="0.25">
      <c r="A777" s="11"/>
      <c r="B777" s="11"/>
      <c r="C777" s="11"/>
      <c r="D777" s="11"/>
      <c r="E777" s="11"/>
      <c r="F777" s="3">
        <f>IF(B777="","",MAX(0,D777-E777))</f>
      </c>
      <c r="G777" s="11"/>
      <c r="H777" s="3">
        <f>IF(B777="","",IF(C777="","כן","לא"))</f>
      </c>
      <c r="I777" s="3">
        <f>IF(B777="","",IF(D777=0,"כן","לא"))</f>
      </c>
      <c r="J777" s="3">
        <f>IF(B777="","",IF(F777&gt;0,"כן","לא"))</f>
      </c>
    </row>
    <row r="778" spans="1:10" x14ac:dyDescent="0.25">
      <c r="A778" s="11"/>
      <c r="B778" s="11"/>
      <c r="C778" s="11"/>
      <c r="D778" s="11"/>
      <c r="E778" s="11"/>
      <c r="F778" s="3">
        <f>IF(B778="","",MAX(0,D778-E778))</f>
      </c>
      <c r="G778" s="11"/>
      <c r="H778" s="3">
        <f>IF(B778="","",IF(C778="","כן","לא"))</f>
      </c>
      <c r="I778" s="3">
        <f>IF(B778="","",IF(D778=0,"כן","לא"))</f>
      </c>
      <c r="J778" s="3">
        <f>IF(B778="","",IF(F778&gt;0,"כן","לא"))</f>
      </c>
    </row>
    <row r="779" spans="1:10" x14ac:dyDescent="0.25">
      <c r="A779" s="11"/>
      <c r="B779" s="11"/>
      <c r="C779" s="11"/>
      <c r="D779" s="11"/>
      <c r="E779" s="11"/>
      <c r="F779" s="3">
        <f>IF(B779="","",MAX(0,D779-E779))</f>
      </c>
      <c r="G779" s="11"/>
      <c r="H779" s="3">
        <f>IF(B779="","",IF(C779="","כן","לא"))</f>
      </c>
      <c r="I779" s="3">
        <f>IF(B779="","",IF(D779=0,"כן","לא"))</f>
      </c>
      <c r="J779" s="3">
        <f>IF(B779="","",IF(F779&gt;0,"כן","לא"))</f>
      </c>
    </row>
    <row r="780" spans="1:10" x14ac:dyDescent="0.25">
      <c r="A780" s="11"/>
      <c r="B780" s="11"/>
      <c r="C780" s="11"/>
      <c r="D780" s="11"/>
      <c r="E780" s="11"/>
      <c r="F780" s="3">
        <f>IF(B780="","",MAX(0,D780-E780))</f>
      </c>
      <c r="G780" s="11"/>
      <c r="H780" s="3">
        <f>IF(B780="","",IF(C780="","כן","לא"))</f>
      </c>
      <c r="I780" s="3">
        <f>IF(B780="","",IF(D780=0,"כן","לא"))</f>
      </c>
      <c r="J780" s="3">
        <f>IF(B780="","",IF(F780&gt;0,"כן","לא"))</f>
      </c>
    </row>
    <row r="781" spans="1:10" x14ac:dyDescent="0.25">
      <c r="A781" s="11"/>
      <c r="B781" s="11"/>
      <c r="C781" s="11"/>
      <c r="D781" s="11"/>
      <c r="E781" s="11"/>
      <c r="F781" s="3">
        <f>IF(B781="","",MAX(0,D781-E781))</f>
      </c>
      <c r="G781" s="11"/>
      <c r="H781" s="3">
        <f>IF(B781="","",IF(C781="","כן","לא"))</f>
      </c>
      <c r="I781" s="3">
        <f>IF(B781="","",IF(D781=0,"כן","לא"))</f>
      </c>
      <c r="J781" s="3">
        <f>IF(B781="","",IF(F781&gt;0,"כן","לא"))</f>
      </c>
    </row>
    <row r="782" spans="1:10" x14ac:dyDescent="0.25">
      <c r="A782" s="11"/>
      <c r="B782" s="11"/>
      <c r="C782" s="11"/>
      <c r="D782" s="11"/>
      <c r="E782" s="11"/>
      <c r="F782" s="3">
        <f>IF(B782="","",MAX(0,D782-E782))</f>
      </c>
      <c r="G782" s="11"/>
      <c r="H782" s="3">
        <f>IF(B782="","",IF(C782="","כן","לא"))</f>
      </c>
      <c r="I782" s="3">
        <f>IF(B782="","",IF(D782=0,"כן","לא"))</f>
      </c>
      <c r="J782" s="3">
        <f>IF(B782="","",IF(F782&gt;0,"כן","לא"))</f>
      </c>
    </row>
    <row r="783" spans="1:10" x14ac:dyDescent="0.25">
      <c r="A783" s="11"/>
      <c r="B783" s="11"/>
      <c r="C783" s="11"/>
      <c r="D783" s="11"/>
      <c r="E783" s="11"/>
      <c r="F783" s="3">
        <f>IF(B783="","",MAX(0,D783-E783))</f>
      </c>
      <c r="G783" s="11"/>
      <c r="H783" s="3">
        <f>IF(B783="","",IF(C783="","כן","לא"))</f>
      </c>
      <c r="I783" s="3">
        <f>IF(B783="","",IF(D783=0,"כן","לא"))</f>
      </c>
      <c r="J783" s="3">
        <f>IF(B783="","",IF(F783&gt;0,"כן","לא"))</f>
      </c>
    </row>
    <row r="784" spans="1:10" x14ac:dyDescent="0.25">
      <c r="A784" s="11"/>
      <c r="B784" s="11"/>
      <c r="C784" s="11"/>
      <c r="D784" s="11"/>
      <c r="E784" s="11"/>
      <c r="F784" s="3">
        <f>IF(B784="","",MAX(0,D784-E784))</f>
      </c>
      <c r="G784" s="11"/>
      <c r="H784" s="3">
        <f>IF(B784="","",IF(C784="","כן","לא"))</f>
      </c>
      <c r="I784" s="3">
        <f>IF(B784="","",IF(D784=0,"כן","לא"))</f>
      </c>
      <c r="J784" s="3">
        <f>IF(B784="","",IF(F784&gt;0,"כן","לא"))</f>
      </c>
    </row>
    <row r="785" spans="1:10" x14ac:dyDescent="0.25">
      <c r="A785" s="11"/>
      <c r="B785" s="11"/>
      <c r="C785" s="11"/>
      <c r="D785" s="11"/>
      <c r="E785" s="11"/>
      <c r="F785" s="3">
        <f>IF(B785="","",MAX(0,D785-E785))</f>
      </c>
      <c r="G785" s="11"/>
      <c r="H785" s="3">
        <f>IF(B785="","",IF(C785="","כן","לא"))</f>
      </c>
      <c r="I785" s="3">
        <f>IF(B785="","",IF(D785=0,"כן","לא"))</f>
      </c>
      <c r="J785" s="3">
        <f>IF(B785="","",IF(F785&gt;0,"כן","לא"))</f>
      </c>
    </row>
    <row r="786" spans="1:10" x14ac:dyDescent="0.25">
      <c r="A786" s="11"/>
      <c r="B786" s="11"/>
      <c r="C786" s="11"/>
      <c r="D786" s="11"/>
      <c r="E786" s="11"/>
      <c r="F786" s="3">
        <f>IF(B786="","",MAX(0,D786-E786))</f>
      </c>
      <c r="G786" s="11"/>
      <c r="H786" s="3">
        <f>IF(B786="","",IF(C786="","כן","לא"))</f>
      </c>
      <c r="I786" s="3">
        <f>IF(B786="","",IF(D786=0,"כן","לא"))</f>
      </c>
      <c r="J786" s="3">
        <f>IF(B786="","",IF(F786&gt;0,"כן","לא"))</f>
      </c>
    </row>
    <row r="787" spans="1:10" x14ac:dyDescent="0.25">
      <c r="A787" s="11"/>
      <c r="B787" s="11"/>
      <c r="C787" s="11"/>
      <c r="D787" s="11"/>
      <c r="E787" s="11"/>
      <c r="F787" s="3">
        <f>IF(B787="","",MAX(0,D787-E787))</f>
      </c>
      <c r="G787" s="11"/>
      <c r="H787" s="3">
        <f>IF(B787="","",IF(C787="","כן","לא"))</f>
      </c>
      <c r="I787" s="3">
        <f>IF(B787="","",IF(D787=0,"כן","לא"))</f>
      </c>
      <c r="J787" s="3">
        <f>IF(B787="","",IF(F787&gt;0,"כן","לא"))</f>
      </c>
    </row>
    <row r="788" spans="1:10" x14ac:dyDescent="0.25">
      <c r="A788" s="11"/>
      <c r="B788" s="11"/>
      <c r="C788" s="11"/>
      <c r="D788" s="11"/>
      <c r="E788" s="11"/>
      <c r="F788" s="3">
        <f>IF(B788="","",MAX(0,D788-E788))</f>
      </c>
      <c r="G788" s="11"/>
      <c r="H788" s="3">
        <f>IF(B788="","",IF(C788="","כן","לא"))</f>
      </c>
      <c r="I788" s="3">
        <f>IF(B788="","",IF(D788=0,"כן","לא"))</f>
      </c>
      <c r="J788" s="3">
        <f>IF(B788="","",IF(F788&gt;0,"כן","לא"))</f>
      </c>
    </row>
    <row r="789" spans="1:10" x14ac:dyDescent="0.25">
      <c r="A789" s="11"/>
      <c r="B789" s="11"/>
      <c r="C789" s="11"/>
      <c r="D789" s="11"/>
      <c r="E789" s="11"/>
      <c r="F789" s="3">
        <f>IF(B789="","",MAX(0,D789-E789))</f>
      </c>
      <c r="G789" s="11"/>
      <c r="H789" s="3">
        <f>IF(B789="","",IF(C789="","כן","לא"))</f>
      </c>
      <c r="I789" s="3">
        <f>IF(B789="","",IF(D789=0,"כן","לא"))</f>
      </c>
      <c r="J789" s="3">
        <f>IF(B789="","",IF(F789&gt;0,"כן","לא"))</f>
      </c>
    </row>
    <row r="790" spans="1:10" x14ac:dyDescent="0.25">
      <c r="A790" s="11"/>
      <c r="B790" s="11"/>
      <c r="C790" s="11"/>
      <c r="D790" s="11"/>
      <c r="E790" s="11"/>
      <c r="F790" s="3">
        <f>IF(B790="","",MAX(0,D790-E790))</f>
      </c>
      <c r="G790" s="11"/>
      <c r="H790" s="3">
        <f>IF(B790="","",IF(C790="","כן","לא"))</f>
      </c>
      <c r="I790" s="3">
        <f>IF(B790="","",IF(D790=0,"כן","לא"))</f>
      </c>
      <c r="J790" s="3">
        <f>IF(B790="","",IF(F790&gt;0,"כן","לא"))</f>
      </c>
    </row>
    <row r="791" spans="1:10" x14ac:dyDescent="0.25">
      <c r="A791" s="11"/>
      <c r="B791" s="11"/>
      <c r="C791" s="11"/>
      <c r="D791" s="11"/>
      <c r="E791" s="11"/>
      <c r="F791" s="3">
        <f>IF(B791="","",MAX(0,D791-E791))</f>
      </c>
      <c r="G791" s="11"/>
      <c r="H791" s="3">
        <f>IF(B791="","",IF(C791="","כן","לא"))</f>
      </c>
      <c r="I791" s="3">
        <f>IF(B791="","",IF(D791=0,"כן","לא"))</f>
      </c>
      <c r="J791" s="3">
        <f>IF(B791="","",IF(F791&gt;0,"כן","לא"))</f>
      </c>
    </row>
    <row r="792" spans="1:10" x14ac:dyDescent="0.25">
      <c r="A792" s="11"/>
      <c r="B792" s="11"/>
      <c r="C792" s="11"/>
      <c r="D792" s="11"/>
      <c r="E792" s="11"/>
      <c r="F792" s="3">
        <f>IF(B792="","",MAX(0,D792-E792))</f>
      </c>
      <c r="G792" s="11"/>
      <c r="H792" s="3">
        <f>IF(B792="","",IF(C792="","כן","לא"))</f>
      </c>
      <c r="I792" s="3">
        <f>IF(B792="","",IF(D792=0,"כן","לא"))</f>
      </c>
      <c r="J792" s="3">
        <f>IF(B792="","",IF(F792&gt;0,"כן","לא"))</f>
      </c>
    </row>
    <row r="793" spans="1:10" x14ac:dyDescent="0.25">
      <c r="A793" s="11"/>
      <c r="B793" s="11"/>
      <c r="C793" s="11"/>
      <c r="D793" s="11"/>
      <c r="E793" s="11"/>
      <c r="F793" s="3">
        <f>IF(B793="","",MAX(0,D793-E793))</f>
      </c>
      <c r="G793" s="11"/>
      <c r="H793" s="3">
        <f>IF(B793="","",IF(C793="","כן","לא"))</f>
      </c>
      <c r="I793" s="3">
        <f>IF(B793="","",IF(D793=0,"כן","לא"))</f>
      </c>
      <c r="J793" s="3">
        <f>IF(B793="","",IF(F793&gt;0,"כן","לא"))</f>
      </c>
    </row>
    <row r="794" spans="1:10" x14ac:dyDescent="0.25">
      <c r="A794" s="11"/>
      <c r="B794" s="11"/>
      <c r="C794" s="11"/>
      <c r="D794" s="11"/>
      <c r="E794" s="11"/>
      <c r="F794" s="3">
        <f>IF(B794="","",MAX(0,D794-E794))</f>
      </c>
      <c r="G794" s="11"/>
      <c r="H794" s="3">
        <f>IF(B794="","",IF(C794="","כן","לא"))</f>
      </c>
      <c r="I794" s="3">
        <f>IF(B794="","",IF(D794=0,"כן","לא"))</f>
      </c>
      <c r="J794" s="3">
        <f>IF(B794="","",IF(F794&gt;0,"כן","לא"))</f>
      </c>
    </row>
    <row r="795" spans="1:10" x14ac:dyDescent="0.25">
      <c r="A795" s="11"/>
      <c r="B795" s="11"/>
      <c r="C795" s="11"/>
      <c r="D795" s="11"/>
      <c r="E795" s="11"/>
      <c r="F795" s="3">
        <f>IF(B795="","",MAX(0,D795-E795))</f>
      </c>
      <c r="G795" s="11"/>
      <c r="H795" s="3">
        <f>IF(B795="","",IF(C795="","כן","לא"))</f>
      </c>
      <c r="I795" s="3">
        <f>IF(B795="","",IF(D795=0,"כן","לא"))</f>
      </c>
      <c r="J795" s="3">
        <f>IF(B795="","",IF(F795&gt;0,"כן","לא"))</f>
      </c>
    </row>
    <row r="796" spans="1:10" x14ac:dyDescent="0.25">
      <c r="A796" s="11"/>
      <c r="B796" s="11"/>
      <c r="C796" s="11"/>
      <c r="D796" s="11"/>
      <c r="E796" s="11"/>
      <c r="F796" s="3">
        <f>IF(B796="","",MAX(0,D796-E796))</f>
      </c>
      <c r="G796" s="11"/>
      <c r="H796" s="3">
        <f>IF(B796="","",IF(C796="","כן","לא"))</f>
      </c>
      <c r="I796" s="3">
        <f>IF(B796="","",IF(D796=0,"כן","לא"))</f>
      </c>
      <c r="J796" s="3">
        <f>IF(B796="","",IF(F796&gt;0,"כן","לא"))</f>
      </c>
    </row>
    <row r="797" spans="1:10" x14ac:dyDescent="0.25">
      <c r="A797" s="11"/>
      <c r="B797" s="11"/>
      <c r="C797" s="11"/>
      <c r="D797" s="11"/>
      <c r="E797" s="11"/>
      <c r="F797" s="3">
        <f>IF(B797="","",MAX(0,D797-E797))</f>
      </c>
      <c r="G797" s="11"/>
      <c r="H797" s="3">
        <f>IF(B797="","",IF(C797="","כן","לא"))</f>
      </c>
      <c r="I797" s="3">
        <f>IF(B797="","",IF(D797=0,"כן","לא"))</f>
      </c>
      <c r="J797" s="3">
        <f>IF(B797="","",IF(F797&gt;0,"כן","לא"))</f>
      </c>
    </row>
    <row r="798" spans="1:10" x14ac:dyDescent="0.25">
      <c r="A798" s="11"/>
      <c r="B798" s="11"/>
      <c r="C798" s="11"/>
      <c r="D798" s="11"/>
      <c r="E798" s="11"/>
      <c r="F798" s="3">
        <f>IF(B798="","",MAX(0,D798-E798))</f>
      </c>
      <c r="G798" s="11"/>
      <c r="H798" s="3">
        <f>IF(B798="","",IF(C798="","כן","לא"))</f>
      </c>
      <c r="I798" s="3">
        <f>IF(B798="","",IF(D798=0,"כן","לא"))</f>
      </c>
      <c r="J798" s="3">
        <f>IF(B798="","",IF(F798&gt;0,"כן","לא"))</f>
      </c>
    </row>
    <row r="799" spans="1:10" x14ac:dyDescent="0.25">
      <c r="A799" s="11"/>
      <c r="B799" s="11"/>
      <c r="C799" s="11"/>
      <c r="D799" s="11"/>
      <c r="E799" s="11"/>
      <c r="F799" s="3">
        <f>IF(B799="","",MAX(0,D799-E799))</f>
      </c>
      <c r="G799" s="11"/>
      <c r="H799" s="3">
        <f>IF(B799="","",IF(C799="","כן","לא"))</f>
      </c>
      <c r="I799" s="3">
        <f>IF(B799="","",IF(D799=0,"כן","לא"))</f>
      </c>
      <c r="J799" s="3">
        <f>IF(B799="","",IF(F799&gt;0,"כן","לא"))</f>
      </c>
    </row>
    <row r="800" spans="1:10" x14ac:dyDescent="0.25">
      <c r="A800" s="11"/>
      <c r="B800" s="11"/>
      <c r="C800" s="11"/>
      <c r="D800" s="11"/>
      <c r="E800" s="11"/>
      <c r="F800" s="3">
        <f>IF(B800="","",MAX(0,D800-E800))</f>
      </c>
      <c r="G800" s="11"/>
      <c r="H800" s="3">
        <f>IF(B800="","",IF(C800="","כן","לא"))</f>
      </c>
      <c r="I800" s="3">
        <f>IF(B800="","",IF(D800=0,"כן","לא"))</f>
      </c>
      <c r="J800" s="3">
        <f>IF(B800="","",IF(F800&gt;0,"כן","לא"))</f>
      </c>
    </row>
    <row r="801" spans="1:10" x14ac:dyDescent="0.25">
      <c r="A801" s="11"/>
      <c r="B801" s="11"/>
      <c r="C801" s="11"/>
      <c r="D801" s="11"/>
      <c r="E801" s="11"/>
      <c r="F801" s="3">
        <f>IF(B801="","",MAX(0,D801-E801))</f>
      </c>
      <c r="G801" s="11"/>
      <c r="H801" s="3">
        <f>IF(B801="","",IF(C801="","כן","לא"))</f>
      </c>
      <c r="I801" s="3">
        <f>IF(B801="","",IF(D801=0,"כן","לא"))</f>
      </c>
      <c r="J801" s="3">
        <f>IF(B801="","",IF(F801&gt;0,"כן","לא"))</f>
      </c>
    </row>
    <row r="802" spans="1:10" x14ac:dyDescent="0.25">
      <c r="A802" s="11"/>
      <c r="B802" s="11"/>
      <c r="C802" s="11"/>
      <c r="D802" s="11"/>
      <c r="E802" s="11"/>
      <c r="F802" s="3">
        <f>IF(B802="","",MAX(0,D802-E802))</f>
      </c>
      <c r="G802" s="11"/>
      <c r="H802" s="3">
        <f>IF(B802="","",IF(C802="","כן","לא"))</f>
      </c>
      <c r="I802" s="3">
        <f>IF(B802="","",IF(D802=0,"כן","לא"))</f>
      </c>
      <c r="J802" s="3">
        <f>IF(B802="","",IF(F802&gt;0,"כן","לא"))</f>
      </c>
    </row>
    <row r="803" spans="1:10" x14ac:dyDescent="0.25">
      <c r="A803" s="11"/>
      <c r="B803" s="11"/>
      <c r="C803" s="11"/>
      <c r="D803" s="11"/>
      <c r="E803" s="11"/>
      <c r="F803" s="3">
        <f>IF(B803="","",MAX(0,D803-E803))</f>
      </c>
      <c r="G803" s="11"/>
      <c r="H803" s="3">
        <f>IF(B803="","",IF(C803="","כן","לא"))</f>
      </c>
      <c r="I803" s="3">
        <f>IF(B803="","",IF(D803=0,"כן","לא"))</f>
      </c>
      <c r="J803" s="3">
        <f>IF(B803="","",IF(F803&gt;0,"כן","לא"))</f>
      </c>
    </row>
    <row r="804" spans="1:10" x14ac:dyDescent="0.25">
      <c r="A804" s="11"/>
      <c r="B804" s="11"/>
      <c r="C804" s="11"/>
      <c r="D804" s="11"/>
      <c r="E804" s="11"/>
      <c r="F804" s="3">
        <f>IF(B804="","",MAX(0,D804-E804))</f>
      </c>
      <c r="G804" s="11"/>
      <c r="H804" s="3">
        <f>IF(B804="","",IF(C804="","כן","לא"))</f>
      </c>
      <c r="I804" s="3">
        <f>IF(B804="","",IF(D804=0,"כן","לא"))</f>
      </c>
      <c r="J804" s="3">
        <f>IF(B804="","",IF(F804&gt;0,"כן","לא"))</f>
      </c>
    </row>
    <row r="805" spans="1:10" x14ac:dyDescent="0.25">
      <c r="A805" s="11"/>
      <c r="B805" s="11"/>
      <c r="C805" s="11"/>
      <c r="D805" s="11"/>
      <c r="E805" s="11"/>
      <c r="F805" s="3">
        <f>IF(B805="","",MAX(0,D805-E805))</f>
      </c>
      <c r="G805" s="11"/>
      <c r="H805" s="3">
        <f>IF(B805="","",IF(C805="","כן","לא"))</f>
      </c>
      <c r="I805" s="3">
        <f>IF(B805="","",IF(D805=0,"כן","לא"))</f>
      </c>
      <c r="J805" s="3">
        <f>IF(B805="","",IF(F805&gt;0,"כן","לא"))</f>
      </c>
    </row>
    <row r="806" spans="1:10" x14ac:dyDescent="0.25">
      <c r="A806" s="11"/>
      <c r="B806" s="11"/>
      <c r="C806" s="11"/>
      <c r="D806" s="11"/>
      <c r="E806" s="11"/>
      <c r="F806" s="3">
        <f>IF(B806="","",MAX(0,D806-E806))</f>
      </c>
      <c r="G806" s="11"/>
      <c r="H806" s="3">
        <f>IF(B806="","",IF(C806="","כן","לא"))</f>
      </c>
      <c r="I806" s="3">
        <f>IF(B806="","",IF(D806=0,"כן","לא"))</f>
      </c>
      <c r="J806" s="3">
        <f>IF(B806="","",IF(F806&gt;0,"כן","לא"))</f>
      </c>
    </row>
    <row r="807" spans="1:10" x14ac:dyDescent="0.25">
      <c r="A807" s="11"/>
      <c r="B807" s="11"/>
      <c r="C807" s="11"/>
      <c r="D807" s="11"/>
      <c r="E807" s="11"/>
      <c r="F807" s="3">
        <f>IF(B807="","",MAX(0,D807-E807))</f>
      </c>
      <c r="G807" s="11"/>
      <c r="H807" s="3">
        <f>IF(B807="","",IF(C807="","כן","לא"))</f>
      </c>
      <c r="I807" s="3">
        <f>IF(B807="","",IF(D807=0,"כן","לא"))</f>
      </c>
      <c r="J807" s="3">
        <f>IF(B807="","",IF(F807&gt;0,"כן","לא"))</f>
      </c>
    </row>
    <row r="808" spans="1:10" x14ac:dyDescent="0.25">
      <c r="A808" s="11"/>
      <c r="B808" s="11"/>
      <c r="C808" s="11"/>
      <c r="D808" s="11"/>
      <c r="E808" s="11"/>
      <c r="F808" s="3">
        <f>IF(B808="","",MAX(0,D808-E808))</f>
      </c>
      <c r="G808" s="11"/>
      <c r="H808" s="3">
        <f>IF(B808="","",IF(C808="","כן","לא"))</f>
      </c>
      <c r="I808" s="3">
        <f>IF(B808="","",IF(D808=0,"כן","לא"))</f>
      </c>
      <c r="J808" s="3">
        <f>IF(B808="","",IF(F808&gt;0,"כן","לא"))</f>
      </c>
    </row>
    <row r="809" spans="1:10" x14ac:dyDescent="0.25">
      <c r="A809" s="11"/>
      <c r="B809" s="11"/>
      <c r="C809" s="11"/>
      <c r="D809" s="11"/>
      <c r="E809" s="11"/>
      <c r="F809" s="3">
        <f>IF(B809="","",MAX(0,D809-E809))</f>
      </c>
      <c r="G809" s="11"/>
      <c r="H809" s="3">
        <f>IF(B809="","",IF(C809="","כן","לא"))</f>
      </c>
      <c r="I809" s="3">
        <f>IF(B809="","",IF(D809=0,"כן","לא"))</f>
      </c>
      <c r="J809" s="3">
        <f>IF(B809="","",IF(F809&gt;0,"כן","לא"))</f>
      </c>
    </row>
    <row r="810" spans="1:10" x14ac:dyDescent="0.25">
      <c r="A810" s="11"/>
      <c r="B810" s="11"/>
      <c r="C810" s="11"/>
      <c r="D810" s="11"/>
      <c r="E810" s="11"/>
      <c r="F810" s="3">
        <f>IF(B810="","",MAX(0,D810-E810))</f>
      </c>
      <c r="G810" s="11"/>
      <c r="H810" s="3">
        <f>IF(B810="","",IF(C810="","כן","לא"))</f>
      </c>
      <c r="I810" s="3">
        <f>IF(B810="","",IF(D810=0,"כן","לא"))</f>
      </c>
      <c r="J810" s="3">
        <f>IF(B810="","",IF(F810&gt;0,"כן","לא"))</f>
      </c>
    </row>
    <row r="811" spans="1:10" x14ac:dyDescent="0.25">
      <c r="A811" s="11"/>
      <c r="B811" s="11"/>
      <c r="C811" s="11"/>
      <c r="D811" s="11"/>
      <c r="E811" s="11"/>
      <c r="F811" s="3">
        <f>IF(B811="","",MAX(0,D811-E811))</f>
      </c>
      <c r="G811" s="11"/>
      <c r="H811" s="3">
        <f>IF(B811="","",IF(C811="","כן","לא"))</f>
      </c>
      <c r="I811" s="3">
        <f>IF(B811="","",IF(D811=0,"כן","לא"))</f>
      </c>
      <c r="J811" s="3">
        <f>IF(B811="","",IF(F811&gt;0,"כן","לא"))</f>
      </c>
    </row>
    <row r="812" spans="1:10" x14ac:dyDescent="0.25">
      <c r="A812" s="11"/>
      <c r="B812" s="11"/>
      <c r="C812" s="11"/>
      <c r="D812" s="11"/>
      <c r="E812" s="11"/>
      <c r="F812" s="3">
        <f>IF(B812="","",MAX(0,D812-E812))</f>
      </c>
      <c r="G812" s="11"/>
      <c r="H812" s="3">
        <f>IF(B812="","",IF(C812="","כן","לא"))</f>
      </c>
      <c r="I812" s="3">
        <f>IF(B812="","",IF(D812=0,"כן","לא"))</f>
      </c>
      <c r="J812" s="3">
        <f>IF(B812="","",IF(F812&gt;0,"כן","לא"))</f>
      </c>
    </row>
    <row r="813" spans="1:10" x14ac:dyDescent="0.25">
      <c r="A813" s="11"/>
      <c r="B813" s="11"/>
      <c r="C813" s="11"/>
      <c r="D813" s="11"/>
      <c r="E813" s="11"/>
      <c r="F813" s="3">
        <f>IF(B813="","",MAX(0,D813-E813))</f>
      </c>
      <c r="G813" s="11"/>
      <c r="H813" s="3">
        <f>IF(B813="","",IF(C813="","כן","לא"))</f>
      </c>
      <c r="I813" s="3">
        <f>IF(B813="","",IF(D813=0,"כן","לא"))</f>
      </c>
      <c r="J813" s="3">
        <f>IF(B813="","",IF(F813&gt;0,"כן","לא"))</f>
      </c>
    </row>
    <row r="814" spans="1:10" x14ac:dyDescent="0.25">
      <c r="A814" s="11"/>
      <c r="B814" s="11"/>
      <c r="C814" s="11"/>
      <c r="D814" s="11"/>
      <c r="E814" s="11"/>
      <c r="F814" s="3">
        <f>IF(B814="","",MAX(0,D814-E814))</f>
      </c>
      <c r="G814" s="11"/>
      <c r="H814" s="3">
        <f>IF(B814="","",IF(C814="","כן","לא"))</f>
      </c>
      <c r="I814" s="3">
        <f>IF(B814="","",IF(D814=0,"כן","לא"))</f>
      </c>
      <c r="J814" s="3">
        <f>IF(B814="","",IF(F814&gt;0,"כן","לא"))</f>
      </c>
    </row>
    <row r="815" spans="1:10" x14ac:dyDescent="0.25">
      <c r="A815" s="11"/>
      <c r="B815" s="11"/>
      <c r="C815" s="11"/>
      <c r="D815" s="11"/>
      <c r="E815" s="11"/>
      <c r="F815" s="3">
        <f>IF(B815="","",MAX(0,D815-E815))</f>
      </c>
      <c r="G815" s="11"/>
      <c r="H815" s="3">
        <f>IF(B815="","",IF(C815="","כן","לא"))</f>
      </c>
      <c r="I815" s="3">
        <f>IF(B815="","",IF(D815=0,"כן","לא"))</f>
      </c>
      <c r="J815" s="3">
        <f>IF(B815="","",IF(F815&gt;0,"כן","לא"))</f>
      </c>
    </row>
    <row r="816" spans="1:10" x14ac:dyDescent="0.25">
      <c r="A816" s="11"/>
      <c r="B816" s="11"/>
      <c r="C816" s="11"/>
      <c r="D816" s="11"/>
      <c r="E816" s="11"/>
      <c r="F816" s="3">
        <f>IF(B816="","",MAX(0,D816-E816))</f>
      </c>
      <c r="G816" s="11"/>
      <c r="H816" s="3">
        <f>IF(B816="","",IF(C816="","כן","לא"))</f>
      </c>
      <c r="I816" s="3">
        <f>IF(B816="","",IF(D816=0,"כן","לא"))</f>
      </c>
      <c r="J816" s="3">
        <f>IF(B816="","",IF(F816&gt;0,"כן","לא"))</f>
      </c>
    </row>
    <row r="817" spans="1:10" x14ac:dyDescent="0.25">
      <c r="A817" s="11"/>
      <c r="B817" s="11"/>
      <c r="C817" s="11"/>
      <c r="D817" s="11"/>
      <c r="E817" s="11"/>
      <c r="F817" s="3">
        <f>IF(B817="","",MAX(0,D817-E817))</f>
      </c>
      <c r="G817" s="11"/>
      <c r="H817" s="3">
        <f>IF(B817="","",IF(C817="","כן","לא"))</f>
      </c>
      <c r="I817" s="3">
        <f>IF(B817="","",IF(D817=0,"כן","לא"))</f>
      </c>
      <c r="J817" s="3">
        <f>IF(B817="","",IF(F817&gt;0,"כן","לא"))</f>
      </c>
    </row>
    <row r="818" spans="1:10" x14ac:dyDescent="0.25">
      <c r="A818" s="11"/>
      <c r="B818" s="11"/>
      <c r="C818" s="11"/>
      <c r="D818" s="11"/>
      <c r="E818" s="11"/>
      <c r="F818" s="3">
        <f>IF(B818="","",MAX(0,D818-E818))</f>
      </c>
      <c r="G818" s="11"/>
      <c r="H818" s="3">
        <f>IF(B818="","",IF(C818="","כן","לא"))</f>
      </c>
      <c r="I818" s="3">
        <f>IF(B818="","",IF(D818=0,"כן","לא"))</f>
      </c>
      <c r="J818" s="3">
        <f>IF(B818="","",IF(F818&gt;0,"כן","לא"))</f>
      </c>
    </row>
    <row r="819" spans="1:10" x14ac:dyDescent="0.25">
      <c r="A819" s="11"/>
      <c r="B819" s="11"/>
      <c r="C819" s="11"/>
      <c r="D819" s="11"/>
      <c r="E819" s="11"/>
      <c r="F819" s="3">
        <f>IF(B819="","",MAX(0,D819-E819))</f>
      </c>
      <c r="G819" s="11"/>
      <c r="H819" s="3">
        <f>IF(B819="","",IF(C819="","כן","לא"))</f>
      </c>
      <c r="I819" s="3">
        <f>IF(B819="","",IF(D819=0,"כן","לא"))</f>
      </c>
      <c r="J819" s="3">
        <f>IF(B819="","",IF(F819&gt;0,"כן","לא"))</f>
      </c>
    </row>
    <row r="820" spans="1:10" x14ac:dyDescent="0.25">
      <c r="A820" s="11"/>
      <c r="B820" s="11"/>
      <c r="C820" s="11"/>
      <c r="D820" s="11"/>
      <c r="E820" s="11"/>
      <c r="F820" s="3">
        <f>IF(B820="","",MAX(0,D820-E820))</f>
      </c>
      <c r="G820" s="11"/>
      <c r="H820" s="3">
        <f>IF(B820="","",IF(C820="","כן","לא"))</f>
      </c>
      <c r="I820" s="3">
        <f>IF(B820="","",IF(D820=0,"כן","לא"))</f>
      </c>
      <c r="J820" s="3">
        <f>IF(B820="","",IF(F820&gt;0,"כן","לא"))</f>
      </c>
    </row>
    <row r="821" spans="1:10" x14ac:dyDescent="0.25">
      <c r="A821" s="11"/>
      <c r="B821" s="11"/>
      <c r="C821" s="11"/>
      <c r="D821" s="11"/>
      <c r="E821" s="11"/>
      <c r="F821" s="3">
        <f>IF(B821="","",MAX(0,D821-E821))</f>
      </c>
      <c r="G821" s="11"/>
      <c r="H821" s="3">
        <f>IF(B821="","",IF(C821="","כן","לא"))</f>
      </c>
      <c r="I821" s="3">
        <f>IF(B821="","",IF(D821=0,"כן","לא"))</f>
      </c>
      <c r="J821" s="3">
        <f>IF(B821="","",IF(F821&gt;0,"כן","לא"))</f>
      </c>
    </row>
    <row r="822" spans="1:10" x14ac:dyDescent="0.25">
      <c r="A822" s="11"/>
      <c r="B822" s="11"/>
      <c r="C822" s="11"/>
      <c r="D822" s="11"/>
      <c r="E822" s="11"/>
      <c r="F822" s="3">
        <f>IF(B822="","",MAX(0,D822-E822))</f>
      </c>
      <c r="G822" s="11"/>
      <c r="H822" s="3">
        <f>IF(B822="","",IF(C822="","כן","לא"))</f>
      </c>
      <c r="I822" s="3">
        <f>IF(B822="","",IF(D822=0,"כן","לא"))</f>
      </c>
      <c r="J822" s="3">
        <f>IF(B822="","",IF(F822&gt;0,"כן","לא"))</f>
      </c>
    </row>
    <row r="823" spans="1:10" x14ac:dyDescent="0.25">
      <c r="A823" s="11"/>
      <c r="B823" s="11"/>
      <c r="C823" s="11"/>
      <c r="D823" s="11"/>
      <c r="E823" s="11"/>
      <c r="F823" s="3">
        <f>IF(B823="","",MAX(0,D823-E823))</f>
      </c>
      <c r="G823" s="11"/>
      <c r="H823" s="3">
        <f>IF(B823="","",IF(C823="","כן","לא"))</f>
      </c>
      <c r="I823" s="3">
        <f>IF(B823="","",IF(D823=0,"כן","לא"))</f>
      </c>
      <c r="J823" s="3">
        <f>IF(B823="","",IF(F823&gt;0,"כן","לא"))</f>
      </c>
    </row>
    <row r="824" spans="1:10" x14ac:dyDescent="0.25">
      <c r="A824" s="11"/>
      <c r="B824" s="11"/>
      <c r="C824" s="11"/>
      <c r="D824" s="11"/>
      <c r="E824" s="11"/>
      <c r="F824" s="3">
        <f>IF(B824="","",MAX(0,D824-E824))</f>
      </c>
      <c r="G824" s="11"/>
      <c r="H824" s="3">
        <f>IF(B824="","",IF(C824="","כן","לא"))</f>
      </c>
      <c r="I824" s="3">
        <f>IF(B824="","",IF(D824=0,"כן","לא"))</f>
      </c>
      <c r="J824" s="3">
        <f>IF(B824="","",IF(F824&gt;0,"כן","לא"))</f>
      </c>
    </row>
    <row r="825" spans="1:10" x14ac:dyDescent="0.25">
      <c r="A825" s="11"/>
      <c r="B825" s="11"/>
      <c r="C825" s="11"/>
      <c r="D825" s="11"/>
      <c r="E825" s="11"/>
      <c r="F825" s="3">
        <f>IF(B825="","",MAX(0,D825-E825))</f>
      </c>
      <c r="G825" s="11"/>
      <c r="H825" s="3">
        <f>IF(B825="","",IF(C825="","כן","לא"))</f>
      </c>
      <c r="I825" s="3">
        <f>IF(B825="","",IF(D825=0,"כן","לא"))</f>
      </c>
      <c r="J825" s="3">
        <f>IF(B825="","",IF(F825&gt;0,"כן","לא"))</f>
      </c>
    </row>
    <row r="826" spans="1:10" x14ac:dyDescent="0.25">
      <c r="A826" s="11"/>
      <c r="B826" s="11"/>
      <c r="C826" s="11"/>
      <c r="D826" s="11"/>
      <c r="E826" s="11"/>
      <c r="F826" s="3">
        <f>IF(B826="","",MAX(0,D826-E826))</f>
      </c>
      <c r="G826" s="11"/>
      <c r="H826" s="3">
        <f>IF(B826="","",IF(C826="","כן","לא"))</f>
      </c>
      <c r="I826" s="3">
        <f>IF(B826="","",IF(D826=0,"כן","לא"))</f>
      </c>
      <c r="J826" s="3">
        <f>IF(B826="","",IF(F826&gt;0,"כן","לא"))</f>
      </c>
    </row>
    <row r="827" spans="1:10" x14ac:dyDescent="0.25">
      <c r="A827" s="11"/>
      <c r="B827" s="11"/>
      <c r="C827" s="11"/>
      <c r="D827" s="11"/>
      <c r="E827" s="11"/>
      <c r="F827" s="3">
        <f>IF(B827="","",MAX(0,D827-E827))</f>
      </c>
      <c r="G827" s="11"/>
      <c r="H827" s="3">
        <f>IF(B827="","",IF(C827="","כן","לא"))</f>
      </c>
      <c r="I827" s="3">
        <f>IF(B827="","",IF(D827=0,"כן","לא"))</f>
      </c>
      <c r="J827" s="3">
        <f>IF(B827="","",IF(F827&gt;0,"כן","לא"))</f>
      </c>
    </row>
    <row r="828" spans="1:10" x14ac:dyDescent="0.25">
      <c r="A828" s="11"/>
      <c r="B828" s="11"/>
      <c r="C828" s="11"/>
      <c r="D828" s="11"/>
      <c r="E828" s="11"/>
      <c r="F828" s="3">
        <f>IF(B828="","",MAX(0,D828-E828))</f>
      </c>
      <c r="G828" s="11"/>
      <c r="H828" s="3">
        <f>IF(B828="","",IF(C828="","כן","לא"))</f>
      </c>
      <c r="I828" s="3">
        <f>IF(B828="","",IF(D828=0,"כן","לא"))</f>
      </c>
      <c r="J828" s="3">
        <f>IF(B828="","",IF(F828&gt;0,"כן","לא"))</f>
      </c>
    </row>
    <row r="829" spans="1:10" x14ac:dyDescent="0.25">
      <c r="A829" s="11"/>
      <c r="B829" s="11"/>
      <c r="C829" s="11"/>
      <c r="D829" s="11"/>
      <c r="E829" s="11"/>
      <c r="F829" s="3">
        <f>IF(B829="","",MAX(0,D829-E829))</f>
      </c>
      <c r="G829" s="11"/>
      <c r="H829" s="3">
        <f>IF(B829="","",IF(C829="","כן","לא"))</f>
      </c>
      <c r="I829" s="3">
        <f>IF(B829="","",IF(D829=0,"כן","לא"))</f>
      </c>
      <c r="J829" s="3">
        <f>IF(B829="","",IF(F829&gt;0,"כן","לא"))</f>
      </c>
    </row>
    <row r="830" spans="1:10" x14ac:dyDescent="0.25">
      <c r="A830" s="11"/>
      <c r="B830" s="11"/>
      <c r="C830" s="11"/>
      <c r="D830" s="11"/>
      <c r="E830" s="11"/>
      <c r="F830" s="3">
        <f>IF(B830="","",MAX(0,D830-E830))</f>
      </c>
      <c r="G830" s="11"/>
      <c r="H830" s="3">
        <f>IF(B830="","",IF(C830="","כן","לא"))</f>
      </c>
      <c r="I830" s="3">
        <f>IF(B830="","",IF(D830=0,"כן","לא"))</f>
      </c>
      <c r="J830" s="3">
        <f>IF(B830="","",IF(F830&gt;0,"כן","לא"))</f>
      </c>
    </row>
    <row r="831" spans="1:10" x14ac:dyDescent="0.25">
      <c r="A831" s="11"/>
      <c r="B831" s="11"/>
      <c r="C831" s="11"/>
      <c r="D831" s="11"/>
      <c r="E831" s="11"/>
      <c r="F831" s="3">
        <f>IF(B831="","",MAX(0,D831-E831))</f>
      </c>
      <c r="G831" s="11"/>
      <c r="H831" s="3">
        <f>IF(B831="","",IF(C831="","כן","לא"))</f>
      </c>
      <c r="I831" s="3">
        <f>IF(B831="","",IF(D831=0,"כן","לא"))</f>
      </c>
      <c r="J831" s="3">
        <f>IF(B831="","",IF(F831&gt;0,"כן","לא"))</f>
      </c>
    </row>
    <row r="832" spans="1:10" x14ac:dyDescent="0.25">
      <c r="A832" s="11"/>
      <c r="B832" s="11"/>
      <c r="C832" s="11"/>
      <c r="D832" s="11"/>
      <c r="E832" s="11"/>
      <c r="F832" s="3">
        <f>IF(B832="","",MAX(0,D832-E832))</f>
      </c>
      <c r="G832" s="11"/>
      <c r="H832" s="3">
        <f>IF(B832="","",IF(C832="","כן","לא"))</f>
      </c>
      <c r="I832" s="3">
        <f>IF(B832="","",IF(D832=0,"כן","לא"))</f>
      </c>
      <c r="J832" s="3">
        <f>IF(B832="","",IF(F832&gt;0,"כן","לא"))</f>
      </c>
    </row>
    <row r="833" spans="1:10" x14ac:dyDescent="0.25">
      <c r="A833" s="11"/>
      <c r="B833" s="11"/>
      <c r="C833" s="11"/>
      <c r="D833" s="11"/>
      <c r="E833" s="11"/>
      <c r="F833" s="3">
        <f>IF(B833="","",MAX(0,D833-E833))</f>
      </c>
      <c r="G833" s="11"/>
      <c r="H833" s="3">
        <f>IF(B833="","",IF(C833="","כן","לא"))</f>
      </c>
      <c r="I833" s="3">
        <f>IF(B833="","",IF(D833=0,"כן","לא"))</f>
      </c>
      <c r="J833" s="3">
        <f>IF(B833="","",IF(F833&gt;0,"כן","לא"))</f>
      </c>
    </row>
    <row r="834" spans="1:10" x14ac:dyDescent="0.25">
      <c r="A834" s="11"/>
      <c r="B834" s="11"/>
      <c r="C834" s="11"/>
      <c r="D834" s="11"/>
      <c r="E834" s="11"/>
      <c r="F834" s="3">
        <f>IF(B834="","",MAX(0,D834-E834))</f>
      </c>
      <c r="G834" s="11"/>
      <c r="H834" s="3">
        <f>IF(B834="","",IF(C834="","כן","לא"))</f>
      </c>
      <c r="I834" s="3">
        <f>IF(B834="","",IF(D834=0,"כן","לא"))</f>
      </c>
      <c r="J834" s="3">
        <f>IF(B834="","",IF(F834&gt;0,"כן","לא"))</f>
      </c>
    </row>
    <row r="835" spans="1:10" x14ac:dyDescent="0.25">
      <c r="A835" s="11"/>
      <c r="B835" s="11"/>
      <c r="C835" s="11"/>
      <c r="D835" s="11"/>
      <c r="E835" s="11"/>
      <c r="F835" s="3">
        <f>IF(B835="","",MAX(0,D835-E835))</f>
      </c>
      <c r="G835" s="11"/>
      <c r="H835" s="3">
        <f>IF(B835="","",IF(C835="","כן","לא"))</f>
      </c>
      <c r="I835" s="3">
        <f>IF(B835="","",IF(D835=0,"כן","לא"))</f>
      </c>
      <c r="J835" s="3">
        <f>IF(B835="","",IF(F835&gt;0,"כן","לא"))</f>
      </c>
    </row>
    <row r="836" spans="1:10" x14ac:dyDescent="0.25">
      <c r="A836" s="11"/>
      <c r="B836" s="11"/>
      <c r="C836" s="11"/>
      <c r="D836" s="11"/>
      <c r="E836" s="11"/>
      <c r="F836" s="3">
        <f>IF(B836="","",MAX(0,D836-E836))</f>
      </c>
      <c r="G836" s="11"/>
      <c r="H836" s="3">
        <f>IF(B836="","",IF(C836="","כן","לא"))</f>
      </c>
      <c r="I836" s="3">
        <f>IF(B836="","",IF(D836=0,"כן","לא"))</f>
      </c>
      <c r="J836" s="3">
        <f>IF(B836="","",IF(F836&gt;0,"כן","לא"))</f>
      </c>
    </row>
    <row r="837" spans="1:10" x14ac:dyDescent="0.25">
      <c r="A837" s="11"/>
      <c r="B837" s="11"/>
      <c r="C837" s="11"/>
      <c r="D837" s="11"/>
      <c r="E837" s="11"/>
      <c r="F837" s="3">
        <f>IF(B837="","",MAX(0,D837-E837))</f>
      </c>
      <c r="G837" s="11"/>
      <c r="H837" s="3">
        <f>IF(B837="","",IF(C837="","כן","לא"))</f>
      </c>
      <c r="I837" s="3">
        <f>IF(B837="","",IF(D837=0,"כן","לא"))</f>
      </c>
      <c r="J837" s="3">
        <f>IF(B837="","",IF(F837&gt;0,"כן","לא"))</f>
      </c>
    </row>
    <row r="838" spans="1:10" x14ac:dyDescent="0.25">
      <c r="A838" s="11"/>
      <c r="B838" s="11"/>
      <c r="C838" s="11"/>
      <c r="D838" s="11"/>
      <c r="E838" s="11"/>
      <c r="F838" s="3">
        <f>IF(B838="","",MAX(0,D838-E838))</f>
      </c>
      <c r="G838" s="11"/>
      <c r="H838" s="3">
        <f>IF(B838="","",IF(C838="","כן","לא"))</f>
      </c>
      <c r="I838" s="3">
        <f>IF(B838="","",IF(D838=0,"כן","לא"))</f>
      </c>
      <c r="J838" s="3">
        <f>IF(B838="","",IF(F838&gt;0,"כן","לא"))</f>
      </c>
    </row>
    <row r="839" spans="1:10" x14ac:dyDescent="0.25">
      <c r="A839" s="11"/>
      <c r="B839" s="11"/>
      <c r="C839" s="11"/>
      <c r="D839" s="11"/>
      <c r="E839" s="11"/>
      <c r="F839" s="3">
        <f>IF(B839="","",MAX(0,D839-E839))</f>
      </c>
      <c r="G839" s="11"/>
      <c r="H839" s="3">
        <f>IF(B839="","",IF(C839="","כן","לא"))</f>
      </c>
      <c r="I839" s="3">
        <f>IF(B839="","",IF(D839=0,"כן","לא"))</f>
      </c>
      <c r="J839" s="3">
        <f>IF(B839="","",IF(F839&gt;0,"כן","לא"))</f>
      </c>
    </row>
    <row r="840" spans="1:10" x14ac:dyDescent="0.25">
      <c r="A840" s="11"/>
      <c r="B840" s="11"/>
      <c r="C840" s="11"/>
      <c r="D840" s="11"/>
      <c r="E840" s="11"/>
      <c r="F840" s="3">
        <f>IF(B840="","",MAX(0,D840-E840))</f>
      </c>
      <c r="G840" s="11"/>
      <c r="H840" s="3">
        <f>IF(B840="","",IF(C840="","כן","לא"))</f>
      </c>
      <c r="I840" s="3">
        <f>IF(B840="","",IF(D840=0,"כן","לא"))</f>
      </c>
      <c r="J840" s="3">
        <f>IF(B840="","",IF(F840&gt;0,"כן","לא"))</f>
      </c>
    </row>
    <row r="841" spans="1:10" x14ac:dyDescent="0.25">
      <c r="A841" s="11"/>
      <c r="B841" s="11"/>
      <c r="C841" s="11"/>
      <c r="D841" s="11"/>
      <c r="E841" s="11"/>
      <c r="F841" s="3">
        <f>IF(B841="","",MAX(0,D841-E841))</f>
      </c>
      <c r="G841" s="11"/>
      <c r="H841" s="3">
        <f>IF(B841="","",IF(C841="","כן","לא"))</f>
      </c>
      <c r="I841" s="3">
        <f>IF(B841="","",IF(D841=0,"כן","לא"))</f>
      </c>
      <c r="J841" s="3">
        <f>IF(B841="","",IF(F841&gt;0,"כן","לא"))</f>
      </c>
    </row>
    <row r="842" spans="1:10" x14ac:dyDescent="0.25">
      <c r="A842" s="11"/>
      <c r="B842" s="11"/>
      <c r="C842" s="11"/>
      <c r="D842" s="11"/>
      <c r="E842" s="11"/>
      <c r="F842" s="3">
        <f>IF(B842="","",MAX(0,D842-E842))</f>
      </c>
      <c r="G842" s="11"/>
      <c r="H842" s="3">
        <f>IF(B842="","",IF(C842="","כן","לא"))</f>
      </c>
      <c r="I842" s="3">
        <f>IF(B842="","",IF(D842=0,"כן","לא"))</f>
      </c>
      <c r="J842" s="3">
        <f>IF(B842="","",IF(F842&gt;0,"כן","לא"))</f>
      </c>
    </row>
    <row r="843" spans="1:10" x14ac:dyDescent="0.25">
      <c r="A843" s="11"/>
      <c r="B843" s="11"/>
      <c r="C843" s="11"/>
      <c r="D843" s="11"/>
      <c r="E843" s="11"/>
      <c r="F843" s="3">
        <f>IF(B843="","",MAX(0,D843-E843))</f>
      </c>
      <c r="G843" s="11"/>
      <c r="H843" s="3">
        <f>IF(B843="","",IF(C843="","כן","לא"))</f>
      </c>
      <c r="I843" s="3">
        <f>IF(B843="","",IF(D843=0,"כן","לא"))</f>
      </c>
      <c r="J843" s="3">
        <f>IF(B843="","",IF(F843&gt;0,"כן","לא"))</f>
      </c>
    </row>
    <row r="844" spans="1:10" x14ac:dyDescent="0.25">
      <c r="A844" s="11"/>
      <c r="B844" s="11"/>
      <c r="C844" s="11"/>
      <c r="D844" s="11"/>
      <c r="E844" s="11"/>
      <c r="F844" s="3">
        <f>IF(B844="","",MAX(0,D844-E844))</f>
      </c>
      <c r="G844" s="11"/>
      <c r="H844" s="3">
        <f>IF(B844="","",IF(C844="","כן","לא"))</f>
      </c>
      <c r="I844" s="3">
        <f>IF(B844="","",IF(D844=0,"כן","לא"))</f>
      </c>
      <c r="J844" s="3">
        <f>IF(B844="","",IF(F844&gt;0,"כן","לא"))</f>
      </c>
    </row>
    <row r="845" spans="1:10" x14ac:dyDescent="0.25">
      <c r="A845" s="11"/>
      <c r="B845" s="11"/>
      <c r="C845" s="11"/>
      <c r="D845" s="11"/>
      <c r="E845" s="11"/>
      <c r="F845" s="3">
        <f>IF(B845="","",MAX(0,D845-E845))</f>
      </c>
      <c r="G845" s="11"/>
      <c r="H845" s="3">
        <f>IF(B845="","",IF(C845="","כן","לא"))</f>
      </c>
      <c r="I845" s="3">
        <f>IF(B845="","",IF(D845=0,"כן","לא"))</f>
      </c>
      <c r="J845" s="3">
        <f>IF(B845="","",IF(F845&gt;0,"כן","לא"))</f>
      </c>
    </row>
    <row r="846" spans="1:10" x14ac:dyDescent="0.25">
      <c r="A846" s="11"/>
      <c r="B846" s="11"/>
      <c r="C846" s="11"/>
      <c r="D846" s="11"/>
      <c r="E846" s="11"/>
      <c r="F846" s="3">
        <f>IF(B846="","",MAX(0,D846-E846))</f>
      </c>
      <c r="G846" s="11"/>
      <c r="H846" s="3">
        <f>IF(B846="","",IF(C846="","כן","לא"))</f>
      </c>
      <c r="I846" s="3">
        <f>IF(B846="","",IF(D846=0,"כן","לא"))</f>
      </c>
      <c r="J846" s="3">
        <f>IF(B846="","",IF(F846&gt;0,"כן","לא"))</f>
      </c>
    </row>
    <row r="847" spans="1:10" x14ac:dyDescent="0.25">
      <c r="A847" s="11"/>
      <c r="B847" s="11"/>
      <c r="C847" s="11"/>
      <c r="D847" s="11"/>
      <c r="E847" s="11"/>
      <c r="F847" s="3">
        <f>IF(B847="","",MAX(0,D847-E847))</f>
      </c>
      <c r="G847" s="11"/>
      <c r="H847" s="3">
        <f>IF(B847="","",IF(C847="","כן","לא"))</f>
      </c>
      <c r="I847" s="3">
        <f>IF(B847="","",IF(D847=0,"כן","לא"))</f>
      </c>
      <c r="J847" s="3">
        <f>IF(B847="","",IF(F847&gt;0,"כן","לא"))</f>
      </c>
    </row>
    <row r="848" spans="1:10" x14ac:dyDescent="0.25">
      <c r="A848" s="11"/>
      <c r="B848" s="11"/>
      <c r="C848" s="11"/>
      <c r="D848" s="11"/>
      <c r="E848" s="11"/>
      <c r="F848" s="3">
        <f>IF(B848="","",MAX(0,D848-E848))</f>
      </c>
      <c r="G848" s="11"/>
      <c r="H848" s="3">
        <f>IF(B848="","",IF(C848="","כן","לא"))</f>
      </c>
      <c r="I848" s="3">
        <f>IF(B848="","",IF(D848=0,"כן","לא"))</f>
      </c>
      <c r="J848" s="3">
        <f>IF(B848="","",IF(F848&gt;0,"כן","לא"))</f>
      </c>
    </row>
    <row r="849" spans="1:10" x14ac:dyDescent="0.25">
      <c r="A849" s="11"/>
      <c r="B849" s="11"/>
      <c r="C849" s="11"/>
      <c r="D849" s="11"/>
      <c r="E849" s="11"/>
      <c r="F849" s="3">
        <f>IF(B849="","",MAX(0,D849-E849))</f>
      </c>
      <c r="G849" s="11"/>
      <c r="H849" s="3">
        <f>IF(B849="","",IF(C849="","כן","לא"))</f>
      </c>
      <c r="I849" s="3">
        <f>IF(B849="","",IF(D849=0,"כן","לא"))</f>
      </c>
      <c r="J849" s="3">
        <f>IF(B849="","",IF(F849&gt;0,"כן","לא"))</f>
      </c>
    </row>
    <row r="850" spans="1:10" x14ac:dyDescent="0.25">
      <c r="A850" s="11"/>
      <c r="B850" s="11"/>
      <c r="C850" s="11"/>
      <c r="D850" s="11"/>
      <c r="E850" s="11"/>
      <c r="F850" s="3">
        <f>IF(B850="","",MAX(0,D850-E850))</f>
      </c>
      <c r="G850" s="11"/>
      <c r="H850" s="3">
        <f>IF(B850="","",IF(C850="","כן","לא"))</f>
      </c>
      <c r="I850" s="3">
        <f>IF(B850="","",IF(D850=0,"כן","לא"))</f>
      </c>
      <c r="J850" s="3">
        <f>IF(B850="","",IF(F850&gt;0,"כן","לא"))</f>
      </c>
    </row>
    <row r="851" spans="1:10" x14ac:dyDescent="0.25">
      <c r="A851" s="11"/>
      <c r="B851" s="11"/>
      <c r="C851" s="11"/>
      <c r="D851" s="11"/>
      <c r="E851" s="11"/>
      <c r="F851" s="3">
        <f>IF(B851="","",MAX(0,D851-E851))</f>
      </c>
      <c r="G851" s="11"/>
      <c r="H851" s="3">
        <f>IF(B851="","",IF(C851="","כן","לא"))</f>
      </c>
      <c r="I851" s="3">
        <f>IF(B851="","",IF(D851=0,"כן","לא"))</f>
      </c>
      <c r="J851" s="3">
        <f>IF(B851="","",IF(F851&gt;0,"כן","לא"))</f>
      </c>
    </row>
    <row r="852" spans="1:10" x14ac:dyDescent="0.25">
      <c r="A852" s="11"/>
      <c r="B852" s="11"/>
      <c r="C852" s="11"/>
      <c r="D852" s="11"/>
      <c r="E852" s="11"/>
      <c r="F852" s="3">
        <f>IF(B852="","",MAX(0,D852-E852))</f>
      </c>
      <c r="G852" s="11"/>
      <c r="H852" s="3">
        <f>IF(B852="","",IF(C852="","כן","לא"))</f>
      </c>
      <c r="I852" s="3">
        <f>IF(B852="","",IF(D852=0,"כן","לא"))</f>
      </c>
      <c r="J852" s="3">
        <f>IF(B852="","",IF(F852&gt;0,"כן","לא"))</f>
      </c>
    </row>
    <row r="853" spans="1:10" x14ac:dyDescent="0.25">
      <c r="A853" s="11"/>
      <c r="B853" s="11"/>
      <c r="C853" s="11"/>
      <c r="D853" s="11"/>
      <c r="E853" s="11"/>
      <c r="F853" s="3">
        <f>IF(B853="","",MAX(0,D853-E853))</f>
      </c>
      <c r="G853" s="11"/>
      <c r="H853" s="3">
        <f>IF(B853="","",IF(C853="","כן","לא"))</f>
      </c>
      <c r="I853" s="3">
        <f>IF(B853="","",IF(D853=0,"כן","לא"))</f>
      </c>
      <c r="J853" s="3">
        <f>IF(B853="","",IF(F853&gt;0,"כן","לא"))</f>
      </c>
    </row>
    <row r="854" spans="1:10" x14ac:dyDescent="0.25">
      <c r="A854" s="11"/>
      <c r="B854" s="11"/>
      <c r="C854" s="11"/>
      <c r="D854" s="11"/>
      <c r="E854" s="11"/>
      <c r="F854" s="3">
        <f>IF(B854="","",MAX(0,D854-E854))</f>
      </c>
      <c r="G854" s="11"/>
      <c r="H854" s="3">
        <f>IF(B854="","",IF(C854="","כן","לא"))</f>
      </c>
      <c r="I854" s="3">
        <f>IF(B854="","",IF(D854=0,"כן","לא"))</f>
      </c>
      <c r="J854" s="3">
        <f>IF(B854="","",IF(F854&gt;0,"כן","לא"))</f>
      </c>
    </row>
    <row r="855" spans="1:10" x14ac:dyDescent="0.25">
      <c r="A855" s="11"/>
      <c r="B855" s="11"/>
      <c r="C855" s="11"/>
      <c r="D855" s="11"/>
      <c r="E855" s="11"/>
      <c r="F855" s="3">
        <f>IF(B855="","",MAX(0,D855-E855))</f>
      </c>
      <c r="G855" s="11"/>
      <c r="H855" s="3">
        <f>IF(B855="","",IF(C855="","כן","לא"))</f>
      </c>
      <c r="I855" s="3">
        <f>IF(B855="","",IF(D855=0,"כן","לא"))</f>
      </c>
      <c r="J855" s="3">
        <f>IF(B855="","",IF(F855&gt;0,"כן","לא"))</f>
      </c>
    </row>
    <row r="856" spans="1:10" x14ac:dyDescent="0.25">
      <c r="A856" s="11"/>
      <c r="B856" s="11"/>
      <c r="C856" s="11"/>
      <c r="D856" s="11"/>
      <c r="E856" s="11"/>
      <c r="F856" s="3">
        <f>IF(B856="","",MAX(0,D856-E856))</f>
      </c>
      <c r="G856" s="11"/>
      <c r="H856" s="3">
        <f>IF(B856="","",IF(C856="","כן","לא"))</f>
      </c>
      <c r="I856" s="3">
        <f>IF(B856="","",IF(D856=0,"כן","לא"))</f>
      </c>
      <c r="J856" s="3">
        <f>IF(B856="","",IF(F856&gt;0,"כן","לא"))</f>
      </c>
    </row>
    <row r="857" spans="1:10" x14ac:dyDescent="0.25">
      <c r="A857" s="11"/>
      <c r="B857" s="11"/>
      <c r="C857" s="11"/>
      <c r="D857" s="11"/>
      <c r="E857" s="11"/>
      <c r="F857" s="3">
        <f>IF(B857="","",MAX(0,D857-E857))</f>
      </c>
      <c r="G857" s="11"/>
      <c r="H857" s="3">
        <f>IF(B857="","",IF(C857="","כן","לא"))</f>
      </c>
      <c r="I857" s="3">
        <f>IF(B857="","",IF(D857=0,"כן","לא"))</f>
      </c>
      <c r="J857" s="3">
        <f>IF(B857="","",IF(F857&gt;0,"כן","לא"))</f>
      </c>
    </row>
    <row r="858" spans="1:10" x14ac:dyDescent="0.25">
      <c r="A858" s="11"/>
      <c r="B858" s="11"/>
      <c r="C858" s="11"/>
      <c r="D858" s="11"/>
      <c r="E858" s="11"/>
      <c r="F858" s="3">
        <f>IF(B858="","",MAX(0,D858-E858))</f>
      </c>
      <c r="G858" s="11"/>
      <c r="H858" s="3">
        <f>IF(B858="","",IF(C858="","כן","לא"))</f>
      </c>
      <c r="I858" s="3">
        <f>IF(B858="","",IF(D858=0,"כן","לא"))</f>
      </c>
      <c r="J858" s="3">
        <f>IF(B858="","",IF(F858&gt;0,"כן","לא"))</f>
      </c>
    </row>
    <row r="859" spans="1:10" x14ac:dyDescent="0.25">
      <c r="A859" s="11"/>
      <c r="B859" s="11"/>
      <c r="C859" s="11"/>
      <c r="D859" s="11"/>
      <c r="E859" s="11"/>
      <c r="F859" s="3">
        <f>IF(B859="","",MAX(0,D859-E859))</f>
      </c>
      <c r="G859" s="11"/>
      <c r="H859" s="3">
        <f>IF(B859="","",IF(C859="","כן","לא"))</f>
      </c>
      <c r="I859" s="3">
        <f>IF(B859="","",IF(D859=0,"כן","לא"))</f>
      </c>
      <c r="J859" s="3">
        <f>IF(B859="","",IF(F859&gt;0,"כן","לא"))</f>
      </c>
    </row>
    <row r="860" spans="1:10" x14ac:dyDescent="0.25">
      <c r="A860" s="11"/>
      <c r="B860" s="11"/>
      <c r="C860" s="11"/>
      <c r="D860" s="11"/>
      <c r="E860" s="11"/>
      <c r="F860" s="3">
        <f>IF(B860="","",MAX(0,D860-E860))</f>
      </c>
      <c r="G860" s="11"/>
      <c r="H860" s="3">
        <f>IF(B860="","",IF(C860="","כן","לא"))</f>
      </c>
      <c r="I860" s="3">
        <f>IF(B860="","",IF(D860=0,"כן","לא"))</f>
      </c>
      <c r="J860" s="3">
        <f>IF(B860="","",IF(F860&gt;0,"כן","לא"))</f>
      </c>
    </row>
    <row r="861" spans="1:10" x14ac:dyDescent="0.25">
      <c r="A861" s="11"/>
      <c r="B861" s="11"/>
      <c r="C861" s="11"/>
      <c r="D861" s="11"/>
      <c r="E861" s="11"/>
      <c r="F861" s="3">
        <f>IF(B861="","",MAX(0,D861-E861))</f>
      </c>
      <c r="G861" s="11"/>
      <c r="H861" s="3">
        <f>IF(B861="","",IF(C861="","כן","לא"))</f>
      </c>
      <c r="I861" s="3">
        <f>IF(B861="","",IF(D861=0,"כן","לא"))</f>
      </c>
      <c r="J861" s="3">
        <f>IF(B861="","",IF(F861&gt;0,"כן","לא"))</f>
      </c>
    </row>
    <row r="862" spans="1:10" x14ac:dyDescent="0.25">
      <c r="A862" s="11"/>
      <c r="B862" s="11"/>
      <c r="C862" s="11"/>
      <c r="D862" s="11"/>
      <c r="E862" s="11"/>
      <c r="F862" s="3">
        <f>IF(B862="","",MAX(0,D862-E862))</f>
      </c>
      <c r="G862" s="11"/>
      <c r="H862" s="3">
        <f>IF(B862="","",IF(C862="","כן","לא"))</f>
      </c>
      <c r="I862" s="3">
        <f>IF(B862="","",IF(D862=0,"כן","לא"))</f>
      </c>
      <c r="J862" s="3">
        <f>IF(B862="","",IF(F862&gt;0,"כן","לא"))</f>
      </c>
    </row>
    <row r="863" spans="1:10" x14ac:dyDescent="0.25">
      <c r="A863" s="11"/>
      <c r="B863" s="11"/>
      <c r="C863" s="11"/>
      <c r="D863" s="11"/>
      <c r="E863" s="11"/>
      <c r="F863" s="3">
        <f>IF(B863="","",MAX(0,D863-E863))</f>
      </c>
      <c r="G863" s="11"/>
      <c r="H863" s="3">
        <f>IF(B863="","",IF(C863="","כן","לא"))</f>
      </c>
      <c r="I863" s="3">
        <f>IF(B863="","",IF(D863=0,"כן","לא"))</f>
      </c>
      <c r="J863" s="3">
        <f>IF(B863="","",IF(F863&gt;0,"כן","לא"))</f>
      </c>
    </row>
    <row r="864" spans="1:10" x14ac:dyDescent="0.25">
      <c r="A864" s="11"/>
      <c r="B864" s="11"/>
      <c r="C864" s="11"/>
      <c r="D864" s="11"/>
      <c r="E864" s="11"/>
      <c r="F864" s="3">
        <f>IF(B864="","",MAX(0,D864-E864))</f>
      </c>
      <c r="G864" s="11"/>
      <c r="H864" s="3">
        <f>IF(B864="","",IF(C864="","כן","לא"))</f>
      </c>
      <c r="I864" s="3">
        <f>IF(B864="","",IF(D864=0,"כן","לא"))</f>
      </c>
      <c r="J864" s="3">
        <f>IF(B864="","",IF(F864&gt;0,"כן","לא"))</f>
      </c>
    </row>
    <row r="865" spans="1:10" x14ac:dyDescent="0.25">
      <c r="A865" s="11"/>
      <c r="B865" s="11"/>
      <c r="C865" s="11"/>
      <c r="D865" s="11"/>
      <c r="E865" s="11"/>
      <c r="F865" s="3">
        <f>IF(B865="","",MAX(0,D865-E865))</f>
      </c>
      <c r="G865" s="11"/>
      <c r="H865" s="3">
        <f>IF(B865="","",IF(C865="","כן","לא"))</f>
      </c>
      <c r="I865" s="3">
        <f>IF(B865="","",IF(D865=0,"כן","לא"))</f>
      </c>
      <c r="J865" s="3">
        <f>IF(B865="","",IF(F865&gt;0,"כן","לא"))</f>
      </c>
    </row>
    <row r="866" spans="1:10" x14ac:dyDescent="0.25">
      <c r="A866" s="11"/>
      <c r="B866" s="11"/>
      <c r="C866" s="11"/>
      <c r="D866" s="11"/>
      <c r="E866" s="11"/>
      <c r="F866" s="3">
        <f>IF(B866="","",MAX(0,D866-E866))</f>
      </c>
      <c r="G866" s="11"/>
      <c r="H866" s="3">
        <f>IF(B866="","",IF(C866="","כן","לא"))</f>
      </c>
      <c r="I866" s="3">
        <f>IF(B866="","",IF(D866=0,"כן","לא"))</f>
      </c>
      <c r="J866" s="3">
        <f>IF(B866="","",IF(F866&gt;0,"כן","לא"))</f>
      </c>
    </row>
    <row r="867" spans="1:10" x14ac:dyDescent="0.25">
      <c r="A867" s="11"/>
      <c r="B867" s="11"/>
      <c r="C867" s="11"/>
      <c r="D867" s="11"/>
      <c r="E867" s="11"/>
      <c r="F867" s="3">
        <f>IF(B867="","",MAX(0,D867-E867))</f>
      </c>
      <c r="G867" s="11"/>
      <c r="H867" s="3">
        <f>IF(B867="","",IF(C867="","כן","לא"))</f>
      </c>
      <c r="I867" s="3">
        <f>IF(B867="","",IF(D867=0,"כן","לא"))</f>
      </c>
      <c r="J867" s="3">
        <f>IF(B867="","",IF(F867&gt;0,"כן","לא"))</f>
      </c>
    </row>
    <row r="868" spans="1:10" x14ac:dyDescent="0.25">
      <c r="A868" s="11"/>
      <c r="B868" s="11"/>
      <c r="C868" s="11"/>
      <c r="D868" s="11"/>
      <c r="E868" s="11"/>
      <c r="F868" s="3">
        <f>IF(B868="","",MAX(0,D868-E868))</f>
      </c>
      <c r="G868" s="11"/>
      <c r="H868" s="3">
        <f>IF(B868="","",IF(C868="","כן","לא"))</f>
      </c>
      <c r="I868" s="3">
        <f>IF(B868="","",IF(D868=0,"כן","לא"))</f>
      </c>
      <c r="J868" s="3">
        <f>IF(B868="","",IF(F868&gt;0,"כן","לא"))</f>
      </c>
    </row>
    <row r="869" spans="1:10" x14ac:dyDescent="0.25">
      <c r="A869" s="11"/>
      <c r="B869" s="11"/>
      <c r="C869" s="11"/>
      <c r="D869" s="11"/>
      <c r="E869" s="11"/>
      <c r="F869" s="3">
        <f>IF(B869="","",MAX(0,D869-E869))</f>
      </c>
      <c r="G869" s="11"/>
      <c r="H869" s="3">
        <f>IF(B869="","",IF(C869="","כן","לא"))</f>
      </c>
      <c r="I869" s="3">
        <f>IF(B869="","",IF(D869=0,"כן","לא"))</f>
      </c>
      <c r="J869" s="3">
        <f>IF(B869="","",IF(F869&gt;0,"כן","לא"))</f>
      </c>
    </row>
    <row r="870" spans="1:10" x14ac:dyDescent="0.25">
      <c r="A870" s="11"/>
      <c r="B870" s="11"/>
      <c r="C870" s="11"/>
      <c r="D870" s="11"/>
      <c r="E870" s="11"/>
      <c r="F870" s="3">
        <f>IF(B870="","",MAX(0,D870-E870))</f>
      </c>
      <c r="G870" s="11"/>
      <c r="H870" s="3">
        <f>IF(B870="","",IF(C870="","כן","לא"))</f>
      </c>
      <c r="I870" s="3">
        <f>IF(B870="","",IF(D870=0,"כן","לא"))</f>
      </c>
      <c r="J870" s="3">
        <f>IF(B870="","",IF(F870&gt;0,"כן","לא"))</f>
      </c>
    </row>
    <row r="871" spans="1:10" x14ac:dyDescent="0.25">
      <c r="A871" s="11"/>
      <c r="B871" s="11"/>
      <c r="C871" s="11"/>
      <c r="D871" s="11"/>
      <c r="E871" s="11"/>
      <c r="F871" s="3">
        <f>IF(B871="","",MAX(0,D871-E871))</f>
      </c>
      <c r="G871" s="11"/>
      <c r="H871" s="3">
        <f>IF(B871="","",IF(C871="","כן","לא"))</f>
      </c>
      <c r="I871" s="3">
        <f>IF(B871="","",IF(D871=0,"כן","לא"))</f>
      </c>
      <c r="J871" s="3">
        <f>IF(B871="","",IF(F871&gt;0,"כן","לא"))</f>
      </c>
    </row>
    <row r="872" spans="1:10" x14ac:dyDescent="0.25">
      <c r="A872" s="11"/>
      <c r="B872" s="11"/>
      <c r="C872" s="11"/>
      <c r="D872" s="11"/>
      <c r="E872" s="11"/>
      <c r="F872" s="3">
        <f>IF(B872="","",MAX(0,D872-E872))</f>
      </c>
      <c r="G872" s="11"/>
      <c r="H872" s="3">
        <f>IF(B872="","",IF(C872="","כן","לא"))</f>
      </c>
      <c r="I872" s="3">
        <f>IF(B872="","",IF(D872=0,"כן","לא"))</f>
      </c>
      <c r="J872" s="3">
        <f>IF(B872="","",IF(F872&gt;0,"כן","לא"))</f>
      </c>
    </row>
    <row r="873" spans="1:10" x14ac:dyDescent="0.25">
      <c r="A873" s="11"/>
      <c r="B873" s="11"/>
      <c r="C873" s="11"/>
      <c r="D873" s="11"/>
      <c r="E873" s="11"/>
      <c r="F873" s="3">
        <f>IF(B873="","",MAX(0,D873-E873))</f>
      </c>
      <c r="G873" s="11"/>
      <c r="H873" s="3">
        <f>IF(B873="","",IF(C873="","כן","לא"))</f>
      </c>
      <c r="I873" s="3">
        <f>IF(B873="","",IF(D873=0,"כן","לא"))</f>
      </c>
      <c r="J873" s="3">
        <f>IF(B873="","",IF(F873&gt;0,"כן","לא"))</f>
      </c>
    </row>
    <row r="874" spans="1:10" x14ac:dyDescent="0.25">
      <c r="A874" s="11"/>
      <c r="B874" s="11"/>
      <c r="C874" s="11"/>
      <c r="D874" s="11"/>
      <c r="E874" s="11"/>
      <c r="F874" s="3">
        <f>IF(B874="","",MAX(0,D874-E874))</f>
      </c>
      <c r="G874" s="11"/>
      <c r="H874" s="3">
        <f>IF(B874="","",IF(C874="","כן","לא"))</f>
      </c>
      <c r="I874" s="3">
        <f>IF(B874="","",IF(D874=0,"כן","לא"))</f>
      </c>
      <c r="J874" s="3">
        <f>IF(B874="","",IF(F874&gt;0,"כן","לא"))</f>
      </c>
    </row>
    <row r="875" spans="1:10" x14ac:dyDescent="0.25">
      <c r="A875" s="11"/>
      <c r="B875" s="11"/>
      <c r="C875" s="11"/>
      <c r="D875" s="11"/>
      <c r="E875" s="11"/>
      <c r="F875" s="3">
        <f>IF(B875="","",MAX(0,D875-E875))</f>
      </c>
      <c r="G875" s="11"/>
      <c r="H875" s="3">
        <f>IF(B875="","",IF(C875="","כן","לא"))</f>
      </c>
      <c r="I875" s="3">
        <f>IF(B875="","",IF(D875=0,"כן","לא"))</f>
      </c>
      <c r="J875" s="3">
        <f>IF(B875="","",IF(F875&gt;0,"כן","לא"))</f>
      </c>
    </row>
    <row r="876" spans="1:10" x14ac:dyDescent="0.25">
      <c r="A876" s="11"/>
      <c r="B876" s="11"/>
      <c r="C876" s="11"/>
      <c r="D876" s="11"/>
      <c r="E876" s="11"/>
      <c r="F876" s="3">
        <f>IF(B876="","",MAX(0,D876-E876))</f>
      </c>
      <c r="G876" s="11"/>
      <c r="H876" s="3">
        <f>IF(B876="","",IF(C876="","כן","לא"))</f>
      </c>
      <c r="I876" s="3">
        <f>IF(B876="","",IF(D876=0,"כן","לא"))</f>
      </c>
      <c r="J876" s="3">
        <f>IF(B876="","",IF(F876&gt;0,"כן","לא"))</f>
      </c>
    </row>
    <row r="877" spans="1:10" x14ac:dyDescent="0.25">
      <c r="A877" s="11"/>
      <c r="B877" s="11"/>
      <c r="C877" s="11"/>
      <c r="D877" s="11"/>
      <c r="E877" s="11"/>
      <c r="F877" s="3">
        <f>IF(B877="","",MAX(0,D877-E877))</f>
      </c>
      <c r="G877" s="11"/>
      <c r="H877" s="3">
        <f>IF(B877="","",IF(C877="","כן","לא"))</f>
      </c>
      <c r="I877" s="3">
        <f>IF(B877="","",IF(D877=0,"כן","לא"))</f>
      </c>
      <c r="J877" s="3">
        <f>IF(B877="","",IF(F877&gt;0,"כן","לא"))</f>
      </c>
    </row>
    <row r="878" spans="1:10" x14ac:dyDescent="0.25">
      <c r="A878" s="11"/>
      <c r="B878" s="11"/>
      <c r="C878" s="11"/>
      <c r="D878" s="11"/>
      <c r="E878" s="11"/>
      <c r="F878" s="3">
        <f>IF(B878="","",MAX(0,D878-E878))</f>
      </c>
      <c r="G878" s="11"/>
      <c r="H878" s="3">
        <f>IF(B878="","",IF(C878="","כן","לא"))</f>
      </c>
      <c r="I878" s="3">
        <f>IF(B878="","",IF(D878=0,"כן","לא"))</f>
      </c>
      <c r="J878" s="3">
        <f>IF(B878="","",IF(F878&gt;0,"כן","לא"))</f>
      </c>
    </row>
    <row r="879" spans="1:10" x14ac:dyDescent="0.25">
      <c r="A879" s="11"/>
      <c r="B879" s="11"/>
      <c r="C879" s="11"/>
      <c r="D879" s="11"/>
      <c r="E879" s="11"/>
      <c r="F879" s="3">
        <f>IF(B879="","",MAX(0,D879-E879))</f>
      </c>
      <c r="G879" s="11"/>
      <c r="H879" s="3">
        <f>IF(B879="","",IF(C879="","כן","לא"))</f>
      </c>
      <c r="I879" s="3">
        <f>IF(B879="","",IF(D879=0,"כן","לא"))</f>
      </c>
      <c r="J879" s="3">
        <f>IF(B879="","",IF(F879&gt;0,"כן","לא"))</f>
      </c>
    </row>
    <row r="880" spans="1:10" x14ac:dyDescent="0.25">
      <c r="A880" s="11"/>
      <c r="B880" s="11"/>
      <c r="C880" s="11"/>
      <c r="D880" s="11"/>
      <c r="E880" s="11"/>
      <c r="F880" s="3">
        <f>IF(B880="","",MAX(0,D880-E880))</f>
      </c>
      <c r="G880" s="11"/>
      <c r="H880" s="3">
        <f>IF(B880="","",IF(C880="","כן","לא"))</f>
      </c>
      <c r="I880" s="3">
        <f>IF(B880="","",IF(D880=0,"כן","לא"))</f>
      </c>
      <c r="J880" s="3">
        <f>IF(B880="","",IF(F880&gt;0,"כן","לא"))</f>
      </c>
    </row>
    <row r="881" spans="1:10" x14ac:dyDescent="0.25">
      <c r="A881" s="11"/>
      <c r="B881" s="11"/>
      <c r="C881" s="11"/>
      <c r="D881" s="11"/>
      <c r="E881" s="11"/>
      <c r="F881" s="3">
        <f>IF(B881="","",MAX(0,D881-E881))</f>
      </c>
      <c r="G881" s="11"/>
      <c r="H881" s="3">
        <f>IF(B881="","",IF(C881="","כן","לא"))</f>
      </c>
      <c r="I881" s="3">
        <f>IF(B881="","",IF(D881=0,"כן","לא"))</f>
      </c>
      <c r="J881" s="3">
        <f>IF(B881="","",IF(F881&gt;0,"כן","לא"))</f>
      </c>
    </row>
    <row r="882" spans="1:10" x14ac:dyDescent="0.25">
      <c r="A882" s="11"/>
      <c r="B882" s="11"/>
      <c r="C882" s="11"/>
      <c r="D882" s="11"/>
      <c r="E882" s="11"/>
      <c r="F882" s="3">
        <f>IF(B882="","",MAX(0,D882-E882))</f>
      </c>
      <c r="G882" s="11"/>
      <c r="H882" s="3">
        <f>IF(B882="","",IF(C882="","כן","לא"))</f>
      </c>
      <c r="I882" s="3">
        <f>IF(B882="","",IF(D882=0,"כן","לא"))</f>
      </c>
      <c r="J882" s="3">
        <f>IF(B882="","",IF(F882&gt;0,"כן","לא"))</f>
      </c>
    </row>
    <row r="883" spans="1:10" x14ac:dyDescent="0.25">
      <c r="A883" s="11"/>
      <c r="B883" s="11"/>
      <c r="C883" s="11"/>
      <c r="D883" s="11"/>
      <c r="E883" s="11"/>
      <c r="F883" s="3">
        <f>IF(B883="","",MAX(0,D883-E883))</f>
      </c>
      <c r="G883" s="11"/>
      <c r="H883" s="3">
        <f>IF(B883="","",IF(C883="","כן","לא"))</f>
      </c>
      <c r="I883" s="3">
        <f>IF(B883="","",IF(D883=0,"כן","לא"))</f>
      </c>
      <c r="J883" s="3">
        <f>IF(B883="","",IF(F883&gt;0,"כן","לא"))</f>
      </c>
    </row>
    <row r="884" spans="1:10" x14ac:dyDescent="0.25">
      <c r="A884" s="11"/>
      <c r="B884" s="11"/>
      <c r="C884" s="11"/>
      <c r="D884" s="11"/>
      <c r="E884" s="11"/>
      <c r="F884" s="3">
        <f>IF(B884="","",MAX(0,D884-E884))</f>
      </c>
      <c r="G884" s="11"/>
      <c r="H884" s="3">
        <f>IF(B884="","",IF(C884="","כן","לא"))</f>
      </c>
      <c r="I884" s="3">
        <f>IF(B884="","",IF(D884=0,"כן","לא"))</f>
      </c>
      <c r="J884" s="3">
        <f>IF(B884="","",IF(F884&gt;0,"כן","לא"))</f>
      </c>
    </row>
    <row r="885" spans="1:10" x14ac:dyDescent="0.25">
      <c r="A885" s="11"/>
      <c r="B885" s="11"/>
      <c r="C885" s="11"/>
      <c r="D885" s="11"/>
      <c r="E885" s="11"/>
      <c r="F885" s="3">
        <f>IF(B885="","",MAX(0,D885-E885))</f>
      </c>
      <c r="G885" s="11"/>
      <c r="H885" s="3">
        <f>IF(B885="","",IF(C885="","כן","לא"))</f>
      </c>
      <c r="I885" s="3">
        <f>IF(B885="","",IF(D885=0,"כן","לא"))</f>
      </c>
      <c r="J885" s="3">
        <f>IF(B885="","",IF(F885&gt;0,"כן","לא"))</f>
      </c>
    </row>
    <row r="886" spans="1:10" x14ac:dyDescent="0.25">
      <c r="A886" s="11"/>
      <c r="B886" s="11"/>
      <c r="C886" s="11"/>
      <c r="D886" s="11"/>
      <c r="E886" s="11"/>
      <c r="F886" s="3">
        <f>IF(B886="","",MAX(0,D886-E886))</f>
      </c>
      <c r="G886" s="11"/>
      <c r="H886" s="3">
        <f>IF(B886="","",IF(C886="","כן","לא"))</f>
      </c>
      <c r="I886" s="3">
        <f>IF(B886="","",IF(D886=0,"כן","לא"))</f>
      </c>
      <c r="J886" s="3">
        <f>IF(B886="","",IF(F886&gt;0,"כן","לא"))</f>
      </c>
    </row>
    <row r="887" spans="1:10" x14ac:dyDescent="0.25">
      <c r="A887" s="11"/>
      <c r="B887" s="11"/>
      <c r="C887" s="11"/>
      <c r="D887" s="11"/>
      <c r="E887" s="11"/>
      <c r="F887" s="3">
        <f>IF(B887="","",MAX(0,D887-E887))</f>
      </c>
      <c r="G887" s="11"/>
      <c r="H887" s="3">
        <f>IF(B887="","",IF(C887="","כן","לא"))</f>
      </c>
      <c r="I887" s="3">
        <f>IF(B887="","",IF(D887=0,"כן","לא"))</f>
      </c>
      <c r="J887" s="3">
        <f>IF(B887="","",IF(F887&gt;0,"כן","לא"))</f>
      </c>
    </row>
    <row r="888" spans="1:10" x14ac:dyDescent="0.25">
      <c r="A888" s="11"/>
      <c r="B888" s="11"/>
      <c r="C888" s="11"/>
      <c r="D888" s="11"/>
      <c r="E888" s="11"/>
      <c r="F888" s="3">
        <f>IF(B888="","",MAX(0,D888-E888))</f>
      </c>
      <c r="G888" s="11"/>
      <c r="H888" s="3">
        <f>IF(B888="","",IF(C888="","כן","לא"))</f>
      </c>
      <c r="I888" s="3">
        <f>IF(B888="","",IF(D888=0,"כן","לא"))</f>
      </c>
      <c r="J888" s="3">
        <f>IF(B888="","",IF(F888&gt;0,"כן","לא"))</f>
      </c>
    </row>
    <row r="889" spans="1:10" x14ac:dyDescent="0.25">
      <c r="A889" s="11"/>
      <c r="B889" s="11"/>
      <c r="C889" s="11"/>
      <c r="D889" s="11"/>
      <c r="E889" s="11"/>
      <c r="F889" s="3">
        <f>IF(B889="","",MAX(0,D889-E889))</f>
      </c>
      <c r="G889" s="11"/>
      <c r="H889" s="3">
        <f>IF(B889="","",IF(C889="","כן","לא"))</f>
      </c>
      <c r="I889" s="3">
        <f>IF(B889="","",IF(D889=0,"כן","לא"))</f>
      </c>
      <c r="J889" s="3">
        <f>IF(B889="","",IF(F889&gt;0,"כן","לא"))</f>
      </c>
    </row>
    <row r="890" spans="1:10" x14ac:dyDescent="0.25">
      <c r="A890" s="11"/>
      <c r="B890" s="11"/>
      <c r="C890" s="11"/>
      <c r="D890" s="11"/>
      <c r="E890" s="11"/>
      <c r="F890" s="3">
        <f>IF(B890="","",MAX(0,D890-E890))</f>
      </c>
      <c r="G890" s="11"/>
      <c r="H890" s="3">
        <f>IF(B890="","",IF(C890="","כן","לא"))</f>
      </c>
      <c r="I890" s="3">
        <f>IF(B890="","",IF(D890=0,"כן","לא"))</f>
      </c>
      <c r="J890" s="3">
        <f>IF(B890="","",IF(F890&gt;0,"כן","לא"))</f>
      </c>
    </row>
    <row r="891" spans="1:10" x14ac:dyDescent="0.25">
      <c r="A891" s="11"/>
      <c r="B891" s="11"/>
      <c r="C891" s="11"/>
      <c r="D891" s="11"/>
      <c r="E891" s="11"/>
      <c r="F891" s="3">
        <f>IF(B891="","",MAX(0,D891-E891))</f>
      </c>
      <c r="G891" s="11"/>
      <c r="H891" s="3">
        <f>IF(B891="","",IF(C891="","כן","לא"))</f>
      </c>
      <c r="I891" s="3">
        <f>IF(B891="","",IF(D891=0,"כן","לא"))</f>
      </c>
      <c r="J891" s="3">
        <f>IF(B891="","",IF(F891&gt;0,"כן","לא"))</f>
      </c>
    </row>
    <row r="892" spans="1:10" x14ac:dyDescent="0.25">
      <c r="A892" s="11"/>
      <c r="B892" s="11"/>
      <c r="C892" s="11"/>
      <c r="D892" s="11"/>
      <c r="E892" s="11"/>
      <c r="F892" s="3">
        <f>IF(B892="","",MAX(0,D892-E892))</f>
      </c>
      <c r="G892" s="11"/>
      <c r="H892" s="3">
        <f>IF(B892="","",IF(C892="","כן","לא"))</f>
      </c>
      <c r="I892" s="3">
        <f>IF(B892="","",IF(D892=0,"כן","לא"))</f>
      </c>
      <c r="J892" s="3">
        <f>IF(B892="","",IF(F892&gt;0,"כן","לא"))</f>
      </c>
    </row>
    <row r="893" spans="1:10" x14ac:dyDescent="0.25">
      <c r="A893" s="11"/>
      <c r="B893" s="11"/>
      <c r="C893" s="11"/>
      <c r="D893" s="11"/>
      <c r="E893" s="11"/>
      <c r="F893" s="3">
        <f>IF(B893="","",MAX(0,D893-E893))</f>
      </c>
      <c r="G893" s="11"/>
      <c r="H893" s="3">
        <f>IF(B893="","",IF(C893="","כן","לא"))</f>
      </c>
      <c r="I893" s="3">
        <f>IF(B893="","",IF(D893=0,"כן","לא"))</f>
      </c>
      <c r="J893" s="3">
        <f>IF(B893="","",IF(F893&gt;0,"כן","לא"))</f>
      </c>
    </row>
    <row r="894" spans="1:10" x14ac:dyDescent="0.25">
      <c r="A894" s="11"/>
      <c r="B894" s="11"/>
      <c r="C894" s="11"/>
      <c r="D894" s="11"/>
      <c r="E894" s="11"/>
      <c r="F894" s="3">
        <f>IF(B894="","",MAX(0,D894-E894))</f>
      </c>
      <c r="G894" s="11"/>
      <c r="H894" s="3">
        <f>IF(B894="","",IF(C894="","כן","לא"))</f>
      </c>
      <c r="I894" s="3">
        <f>IF(B894="","",IF(D894=0,"כן","לא"))</f>
      </c>
      <c r="J894" s="3">
        <f>IF(B894="","",IF(F894&gt;0,"כן","לא"))</f>
      </c>
    </row>
    <row r="895" spans="1:10" x14ac:dyDescent="0.25">
      <c r="A895" s="11"/>
      <c r="B895" s="11"/>
      <c r="C895" s="11"/>
      <c r="D895" s="11"/>
      <c r="E895" s="11"/>
      <c r="F895" s="3">
        <f>IF(B895="","",MAX(0,D895-E895))</f>
      </c>
      <c r="G895" s="11"/>
      <c r="H895" s="3">
        <f>IF(B895="","",IF(C895="","כן","לא"))</f>
      </c>
      <c r="I895" s="3">
        <f>IF(B895="","",IF(D895=0,"כן","לא"))</f>
      </c>
      <c r="J895" s="3">
        <f>IF(B895="","",IF(F895&gt;0,"כן","לא"))</f>
      </c>
    </row>
    <row r="896" spans="1:10" x14ac:dyDescent="0.25">
      <c r="A896" s="11"/>
      <c r="B896" s="11"/>
      <c r="C896" s="11"/>
      <c r="D896" s="11"/>
      <c r="E896" s="11"/>
      <c r="F896" s="3">
        <f>IF(B896="","",MAX(0,D896-E896))</f>
      </c>
      <c r="G896" s="11"/>
      <c r="H896" s="3">
        <f>IF(B896="","",IF(C896="","כן","לא"))</f>
      </c>
      <c r="I896" s="3">
        <f>IF(B896="","",IF(D896=0,"כן","לא"))</f>
      </c>
      <c r="J896" s="3">
        <f>IF(B896="","",IF(F896&gt;0,"כן","לא"))</f>
      </c>
    </row>
    <row r="897" spans="1:10" x14ac:dyDescent="0.25">
      <c r="A897" s="11"/>
      <c r="B897" s="11"/>
      <c r="C897" s="11"/>
      <c r="D897" s="11"/>
      <c r="E897" s="11"/>
      <c r="F897" s="3">
        <f>IF(B897="","",MAX(0,D897-E897))</f>
      </c>
      <c r="G897" s="11"/>
      <c r="H897" s="3">
        <f>IF(B897="","",IF(C897="","כן","לא"))</f>
      </c>
      <c r="I897" s="3">
        <f>IF(B897="","",IF(D897=0,"כן","לא"))</f>
      </c>
      <c r="J897" s="3">
        <f>IF(B897="","",IF(F897&gt;0,"כן","לא"))</f>
      </c>
    </row>
    <row r="898" spans="1:10" x14ac:dyDescent="0.25">
      <c r="A898" s="11"/>
      <c r="B898" s="11"/>
      <c r="C898" s="11"/>
      <c r="D898" s="11"/>
      <c r="E898" s="11"/>
      <c r="F898" s="3">
        <f>IF(B898="","",MAX(0,D898-E898))</f>
      </c>
      <c r="G898" s="11"/>
      <c r="H898" s="3">
        <f>IF(B898="","",IF(C898="","כן","לא"))</f>
      </c>
      <c r="I898" s="3">
        <f>IF(B898="","",IF(D898=0,"כן","לא"))</f>
      </c>
      <c r="J898" s="3">
        <f>IF(B898="","",IF(F898&gt;0,"כן","לא"))</f>
      </c>
    </row>
    <row r="899" spans="1:10" x14ac:dyDescent="0.25">
      <c r="A899" s="11"/>
      <c r="B899" s="11"/>
      <c r="C899" s="11"/>
      <c r="D899" s="11"/>
      <c r="E899" s="11"/>
      <c r="F899" s="3">
        <f>IF(B899="","",MAX(0,D899-E899))</f>
      </c>
      <c r="G899" s="11"/>
      <c r="H899" s="3">
        <f>IF(B899="","",IF(C899="","כן","לא"))</f>
      </c>
      <c r="I899" s="3">
        <f>IF(B899="","",IF(D899=0,"כן","לא"))</f>
      </c>
      <c r="J899" s="3">
        <f>IF(B899="","",IF(F899&gt;0,"כן","לא"))</f>
      </c>
    </row>
    <row r="900" spans="1:10" x14ac:dyDescent="0.25">
      <c r="A900" s="11"/>
      <c r="B900" s="11"/>
      <c r="C900" s="11"/>
      <c r="D900" s="11"/>
      <c r="E900" s="11"/>
      <c r="F900" s="3">
        <f>IF(B900="","",MAX(0,D900-E900))</f>
      </c>
      <c r="G900" s="11"/>
      <c r="H900" s="3">
        <f>IF(B900="","",IF(C900="","כן","לא"))</f>
      </c>
      <c r="I900" s="3">
        <f>IF(B900="","",IF(D900=0,"כן","לא"))</f>
      </c>
      <c r="J900" s="3">
        <f>IF(B900="","",IF(F900&gt;0,"כן","לא"))</f>
      </c>
    </row>
    <row r="901" spans="1:10" x14ac:dyDescent="0.25">
      <c r="A901" s="11"/>
      <c r="B901" s="11"/>
      <c r="C901" s="11"/>
      <c r="D901" s="11"/>
      <c r="E901" s="11"/>
      <c r="F901" s="3">
        <f>IF(B901="","",MAX(0,D901-E901))</f>
      </c>
      <c r="G901" s="11"/>
      <c r="H901" s="3">
        <f>IF(B901="","",IF(C901="","כן","לא"))</f>
      </c>
      <c r="I901" s="3">
        <f>IF(B901="","",IF(D901=0,"כן","לא"))</f>
      </c>
      <c r="J901" s="3">
        <f>IF(B901="","",IF(F901&gt;0,"כן","לא"))</f>
      </c>
    </row>
    <row r="902" spans="1:10" x14ac:dyDescent="0.25">
      <c r="A902" s="11"/>
      <c r="B902" s="11"/>
      <c r="C902" s="11"/>
      <c r="D902" s="11"/>
      <c r="E902" s="11"/>
      <c r="F902" s="3">
        <f>IF(B902="","",MAX(0,D902-E902))</f>
      </c>
      <c r="G902" s="11"/>
      <c r="H902" s="3">
        <f>IF(B902="","",IF(C902="","כן","לא"))</f>
      </c>
      <c r="I902" s="3">
        <f>IF(B902="","",IF(D902=0,"כן","לא"))</f>
      </c>
      <c r="J902" s="3">
        <f>IF(B902="","",IF(F902&gt;0,"כן","לא"))</f>
      </c>
    </row>
    <row r="903" spans="1:10" x14ac:dyDescent="0.25">
      <c r="A903" s="11"/>
      <c r="B903" s="11"/>
      <c r="C903" s="11"/>
      <c r="D903" s="11"/>
      <c r="E903" s="11"/>
      <c r="F903" s="3">
        <f>IF(B903="","",MAX(0,D903-E903))</f>
      </c>
      <c r="G903" s="11"/>
      <c r="H903" s="3">
        <f>IF(B903="","",IF(C903="","כן","לא"))</f>
      </c>
      <c r="I903" s="3">
        <f>IF(B903="","",IF(D903=0,"כן","לא"))</f>
      </c>
      <c r="J903" s="3">
        <f>IF(B903="","",IF(F903&gt;0,"כן","לא"))</f>
      </c>
    </row>
    <row r="904" spans="1:10" x14ac:dyDescent="0.25">
      <c r="A904" s="11"/>
      <c r="B904" s="11"/>
      <c r="C904" s="11"/>
      <c r="D904" s="11"/>
      <c r="E904" s="11"/>
      <c r="F904" s="3">
        <f>IF(B904="","",MAX(0,D904-E904))</f>
      </c>
      <c r="G904" s="11"/>
      <c r="H904" s="3">
        <f>IF(B904="","",IF(C904="","כן","לא"))</f>
      </c>
      <c r="I904" s="3">
        <f>IF(B904="","",IF(D904=0,"כן","לא"))</f>
      </c>
      <c r="J904" s="3">
        <f>IF(B904="","",IF(F904&gt;0,"כן","לא"))</f>
      </c>
    </row>
    <row r="905" spans="1:10" x14ac:dyDescent="0.25">
      <c r="A905" s="11"/>
      <c r="B905" s="11"/>
      <c r="C905" s="11"/>
      <c r="D905" s="11"/>
      <c r="E905" s="11"/>
      <c r="F905" s="3">
        <f>IF(B905="","",MAX(0,D905-E905))</f>
      </c>
      <c r="G905" s="11"/>
      <c r="H905" s="3">
        <f>IF(B905="","",IF(C905="","כן","לא"))</f>
      </c>
      <c r="I905" s="3">
        <f>IF(B905="","",IF(D905=0,"כן","לא"))</f>
      </c>
      <c r="J905" s="3">
        <f>IF(B905="","",IF(F905&gt;0,"כן","לא"))</f>
      </c>
    </row>
    <row r="906" spans="1:10" x14ac:dyDescent="0.25">
      <c r="A906" s="11"/>
      <c r="B906" s="11"/>
      <c r="C906" s="11"/>
      <c r="D906" s="11"/>
      <c r="E906" s="11"/>
      <c r="F906" s="3">
        <f>IF(B906="","",MAX(0,D906-E906))</f>
      </c>
      <c r="G906" s="11"/>
      <c r="H906" s="3">
        <f>IF(B906="","",IF(C906="","כן","לא"))</f>
      </c>
      <c r="I906" s="3">
        <f>IF(B906="","",IF(D906=0,"כן","לא"))</f>
      </c>
      <c r="J906" s="3">
        <f>IF(B906="","",IF(F906&gt;0,"כן","לא"))</f>
      </c>
    </row>
    <row r="907" spans="1:10" x14ac:dyDescent="0.25">
      <c r="A907" s="11"/>
      <c r="B907" s="11"/>
      <c r="C907" s="11"/>
      <c r="D907" s="11"/>
      <c r="E907" s="11"/>
      <c r="F907" s="3">
        <f>IF(B907="","",MAX(0,D907-E907))</f>
      </c>
      <c r="G907" s="11"/>
      <c r="H907" s="3">
        <f>IF(B907="","",IF(C907="","כן","לא"))</f>
      </c>
      <c r="I907" s="3">
        <f>IF(B907="","",IF(D907=0,"כן","לא"))</f>
      </c>
      <c r="J907" s="3">
        <f>IF(B907="","",IF(F907&gt;0,"כן","לא"))</f>
      </c>
    </row>
    <row r="908" spans="1:10" x14ac:dyDescent="0.25">
      <c r="A908" s="11"/>
      <c r="B908" s="11"/>
      <c r="C908" s="11"/>
      <c r="D908" s="11"/>
      <c r="E908" s="11"/>
      <c r="F908" s="3">
        <f>IF(B908="","",MAX(0,D908-E908))</f>
      </c>
      <c r="G908" s="11"/>
      <c r="H908" s="3">
        <f>IF(B908="","",IF(C908="","כן","לא"))</f>
      </c>
      <c r="I908" s="3">
        <f>IF(B908="","",IF(D908=0,"כן","לא"))</f>
      </c>
      <c r="J908" s="3">
        <f>IF(B908="","",IF(F908&gt;0,"כן","לא"))</f>
      </c>
    </row>
    <row r="909" spans="1:10" x14ac:dyDescent="0.25">
      <c r="A909" s="11"/>
      <c r="B909" s="11"/>
      <c r="C909" s="11"/>
      <c r="D909" s="11"/>
      <c r="E909" s="11"/>
      <c r="F909" s="3">
        <f>IF(B909="","",MAX(0,D909-E909))</f>
      </c>
      <c r="G909" s="11"/>
      <c r="H909" s="3">
        <f>IF(B909="","",IF(C909="","כן","לא"))</f>
      </c>
      <c r="I909" s="3">
        <f>IF(B909="","",IF(D909=0,"כן","לא"))</f>
      </c>
      <c r="J909" s="3">
        <f>IF(B909="","",IF(F909&gt;0,"כן","לא"))</f>
      </c>
    </row>
    <row r="910" spans="1:10" x14ac:dyDescent="0.25">
      <c r="A910" s="11"/>
      <c r="B910" s="11"/>
      <c r="C910" s="11"/>
      <c r="D910" s="11"/>
      <c r="E910" s="11"/>
      <c r="F910" s="3">
        <f>IF(B910="","",MAX(0,D910-E910))</f>
      </c>
      <c r="G910" s="11"/>
      <c r="H910" s="3">
        <f>IF(B910="","",IF(C910="","כן","לא"))</f>
      </c>
      <c r="I910" s="3">
        <f>IF(B910="","",IF(D910=0,"כן","לא"))</f>
      </c>
      <c r="J910" s="3">
        <f>IF(B910="","",IF(F910&gt;0,"כן","לא"))</f>
      </c>
    </row>
    <row r="911" spans="1:10" x14ac:dyDescent="0.25">
      <c r="A911" s="11"/>
      <c r="B911" s="11"/>
      <c r="C911" s="11"/>
      <c r="D911" s="11"/>
      <c r="E911" s="11"/>
      <c r="F911" s="3">
        <f>IF(B911="","",MAX(0,D911-E911))</f>
      </c>
      <c r="G911" s="11"/>
      <c r="H911" s="3">
        <f>IF(B911="","",IF(C911="","כן","לא"))</f>
      </c>
      <c r="I911" s="3">
        <f>IF(B911="","",IF(D911=0,"כן","לא"))</f>
      </c>
      <c r="J911" s="3">
        <f>IF(B911="","",IF(F911&gt;0,"כן","לא"))</f>
      </c>
    </row>
    <row r="912" spans="1:10" x14ac:dyDescent="0.25">
      <c r="A912" s="11"/>
      <c r="B912" s="11"/>
      <c r="C912" s="11"/>
      <c r="D912" s="11"/>
      <c r="E912" s="11"/>
      <c r="F912" s="3">
        <f>IF(B912="","",MAX(0,D912-E912))</f>
      </c>
      <c r="G912" s="11"/>
      <c r="H912" s="3">
        <f>IF(B912="","",IF(C912="","כן","לא"))</f>
      </c>
      <c r="I912" s="3">
        <f>IF(B912="","",IF(D912=0,"כן","לא"))</f>
      </c>
      <c r="J912" s="3">
        <f>IF(B912="","",IF(F912&gt;0,"כן","לא"))</f>
      </c>
    </row>
    <row r="913" spans="1:10" x14ac:dyDescent="0.25">
      <c r="A913" s="11"/>
      <c r="B913" s="11"/>
      <c r="C913" s="11"/>
      <c r="D913" s="11"/>
      <c r="E913" s="11"/>
      <c r="F913" s="3">
        <f>IF(B913="","",MAX(0,D913-E913))</f>
      </c>
      <c r="G913" s="11"/>
      <c r="H913" s="3">
        <f>IF(B913="","",IF(C913="","כן","לא"))</f>
      </c>
      <c r="I913" s="3">
        <f>IF(B913="","",IF(D913=0,"כן","לא"))</f>
      </c>
      <c r="J913" s="3">
        <f>IF(B913="","",IF(F913&gt;0,"כן","לא"))</f>
      </c>
    </row>
    <row r="914" spans="1:10" x14ac:dyDescent="0.25">
      <c r="A914" s="11"/>
      <c r="B914" s="11"/>
      <c r="C914" s="11"/>
      <c r="D914" s="11"/>
      <c r="E914" s="11"/>
      <c r="F914" s="3">
        <f>IF(B914="","",MAX(0,D914-E914))</f>
      </c>
      <c r="G914" s="11"/>
      <c r="H914" s="3">
        <f>IF(B914="","",IF(C914="","כן","לא"))</f>
      </c>
      <c r="I914" s="3">
        <f>IF(B914="","",IF(D914=0,"כן","לא"))</f>
      </c>
      <c r="J914" s="3">
        <f>IF(B914="","",IF(F914&gt;0,"כן","לא"))</f>
      </c>
    </row>
    <row r="915" spans="1:10" x14ac:dyDescent="0.25">
      <c r="A915" s="11"/>
      <c r="B915" s="11"/>
      <c r="C915" s="11"/>
      <c r="D915" s="11"/>
      <c r="E915" s="11"/>
      <c r="F915" s="3">
        <f>IF(B915="","",MAX(0,D915-E915))</f>
      </c>
      <c r="G915" s="11"/>
      <c r="H915" s="3">
        <f>IF(B915="","",IF(C915="","כן","לא"))</f>
      </c>
      <c r="I915" s="3">
        <f>IF(B915="","",IF(D915=0,"כן","לא"))</f>
      </c>
      <c r="J915" s="3">
        <f>IF(B915="","",IF(F915&gt;0,"כן","לא"))</f>
      </c>
    </row>
    <row r="916" spans="1:10" x14ac:dyDescent="0.25">
      <c r="A916" s="11"/>
      <c r="B916" s="11"/>
      <c r="C916" s="11"/>
      <c r="D916" s="11"/>
      <c r="E916" s="11"/>
      <c r="F916" s="3">
        <f>IF(B916="","",MAX(0,D916-E916))</f>
      </c>
      <c r="G916" s="11"/>
      <c r="H916" s="3">
        <f>IF(B916="","",IF(C916="","כן","לא"))</f>
      </c>
      <c r="I916" s="3">
        <f>IF(B916="","",IF(D916=0,"כן","לא"))</f>
      </c>
      <c r="J916" s="3">
        <f>IF(B916="","",IF(F916&gt;0,"כן","לא"))</f>
      </c>
    </row>
    <row r="917" spans="1:10" x14ac:dyDescent="0.25">
      <c r="A917" s="11"/>
      <c r="B917" s="11"/>
      <c r="C917" s="11"/>
      <c r="D917" s="11"/>
      <c r="E917" s="11"/>
      <c r="F917" s="3">
        <f>IF(B917="","",MAX(0,D917-E917))</f>
      </c>
      <c r="G917" s="11"/>
      <c r="H917" s="3">
        <f>IF(B917="","",IF(C917="","כן","לא"))</f>
      </c>
      <c r="I917" s="3">
        <f>IF(B917="","",IF(D917=0,"כן","לא"))</f>
      </c>
      <c r="J917" s="3">
        <f>IF(B917="","",IF(F917&gt;0,"כן","לא"))</f>
      </c>
    </row>
    <row r="918" spans="1:10" x14ac:dyDescent="0.25">
      <c r="A918" s="11"/>
      <c r="B918" s="11"/>
      <c r="C918" s="11"/>
      <c r="D918" s="11"/>
      <c r="E918" s="11"/>
      <c r="F918" s="3">
        <f>IF(B918="","",MAX(0,D918-E918))</f>
      </c>
      <c r="G918" s="11"/>
      <c r="H918" s="3">
        <f>IF(B918="","",IF(C918="","כן","לא"))</f>
      </c>
      <c r="I918" s="3">
        <f>IF(B918="","",IF(D918=0,"כן","לא"))</f>
      </c>
      <c r="J918" s="3">
        <f>IF(B918="","",IF(F918&gt;0,"כן","לא"))</f>
      </c>
    </row>
    <row r="919" spans="1:10" x14ac:dyDescent="0.25">
      <c r="A919" s="11"/>
      <c r="B919" s="11"/>
      <c r="C919" s="11"/>
      <c r="D919" s="11"/>
      <c r="E919" s="11"/>
      <c r="F919" s="3">
        <f>IF(B919="","",MAX(0,D919-E919))</f>
      </c>
      <c r="G919" s="11"/>
      <c r="H919" s="3">
        <f>IF(B919="","",IF(C919="","כן","לא"))</f>
      </c>
      <c r="I919" s="3">
        <f>IF(B919="","",IF(D919=0,"כן","לא"))</f>
      </c>
      <c r="J919" s="3">
        <f>IF(B919="","",IF(F919&gt;0,"כן","לא"))</f>
      </c>
    </row>
    <row r="920" spans="1:10" x14ac:dyDescent="0.25">
      <c r="A920" s="11"/>
      <c r="B920" s="11"/>
      <c r="C920" s="11"/>
      <c r="D920" s="11"/>
      <c r="E920" s="11"/>
      <c r="F920" s="3">
        <f>IF(B920="","",MAX(0,D920-E920))</f>
      </c>
      <c r="G920" s="11"/>
      <c r="H920" s="3">
        <f>IF(B920="","",IF(C920="","כן","לא"))</f>
      </c>
      <c r="I920" s="3">
        <f>IF(B920="","",IF(D920=0,"כן","לא"))</f>
      </c>
      <c r="J920" s="3">
        <f>IF(B920="","",IF(F920&gt;0,"כן","לא"))</f>
      </c>
    </row>
    <row r="921" spans="1:10" x14ac:dyDescent="0.25">
      <c r="A921" s="11"/>
      <c r="B921" s="11"/>
      <c r="C921" s="11"/>
      <c r="D921" s="11"/>
      <c r="E921" s="11"/>
      <c r="F921" s="3">
        <f>IF(B921="","",MAX(0,D921-E921))</f>
      </c>
      <c r="G921" s="11"/>
      <c r="H921" s="3">
        <f>IF(B921="","",IF(C921="","כן","לא"))</f>
      </c>
      <c r="I921" s="3">
        <f>IF(B921="","",IF(D921=0,"כן","לא"))</f>
      </c>
      <c r="J921" s="3">
        <f>IF(B921="","",IF(F921&gt;0,"כן","לא"))</f>
      </c>
    </row>
    <row r="922" spans="1:10" x14ac:dyDescent="0.25">
      <c r="A922" s="11"/>
      <c r="B922" s="11"/>
      <c r="C922" s="11"/>
      <c r="D922" s="11"/>
      <c r="E922" s="11"/>
      <c r="F922" s="3">
        <f>IF(B922="","",MAX(0,D922-E922))</f>
      </c>
      <c r="G922" s="11"/>
      <c r="H922" s="3">
        <f>IF(B922="","",IF(C922="","כן","לא"))</f>
      </c>
      <c r="I922" s="3">
        <f>IF(B922="","",IF(D922=0,"כן","לא"))</f>
      </c>
      <c r="J922" s="3">
        <f>IF(B922="","",IF(F922&gt;0,"כן","לא"))</f>
      </c>
    </row>
    <row r="923" spans="1:10" x14ac:dyDescent="0.25">
      <c r="A923" s="11"/>
      <c r="B923" s="11"/>
      <c r="C923" s="11"/>
      <c r="D923" s="11"/>
      <c r="E923" s="11"/>
      <c r="F923" s="3">
        <f>IF(B923="","",MAX(0,D923-E923))</f>
      </c>
      <c r="G923" s="11"/>
      <c r="H923" s="3">
        <f>IF(B923="","",IF(C923="","כן","לא"))</f>
      </c>
      <c r="I923" s="3">
        <f>IF(B923="","",IF(D923=0,"כן","לא"))</f>
      </c>
      <c r="J923" s="3">
        <f>IF(B923="","",IF(F923&gt;0,"כן","לא"))</f>
      </c>
    </row>
    <row r="924" spans="1:10" x14ac:dyDescent="0.25">
      <c r="A924" s="11"/>
      <c r="B924" s="11"/>
      <c r="C924" s="11"/>
      <c r="D924" s="11"/>
      <c r="E924" s="11"/>
      <c r="F924" s="3">
        <f>IF(B924="","",MAX(0,D924-E924))</f>
      </c>
      <c r="G924" s="11"/>
      <c r="H924" s="3">
        <f>IF(B924="","",IF(C924="","כן","לא"))</f>
      </c>
      <c r="I924" s="3">
        <f>IF(B924="","",IF(D924=0,"כן","לא"))</f>
      </c>
      <c r="J924" s="3">
        <f>IF(B924="","",IF(F924&gt;0,"כן","לא"))</f>
      </c>
    </row>
    <row r="925" spans="1:10" x14ac:dyDescent="0.25">
      <c r="A925" s="11"/>
      <c r="B925" s="11"/>
      <c r="C925" s="11"/>
      <c r="D925" s="11"/>
      <c r="E925" s="11"/>
      <c r="F925" s="3">
        <f>IF(B925="","",MAX(0,D925-E925))</f>
      </c>
      <c r="G925" s="11"/>
      <c r="H925" s="3">
        <f>IF(B925="","",IF(C925="","כן","לא"))</f>
      </c>
      <c r="I925" s="3">
        <f>IF(B925="","",IF(D925=0,"כן","לא"))</f>
      </c>
      <c r="J925" s="3">
        <f>IF(B925="","",IF(F925&gt;0,"כן","לא"))</f>
      </c>
    </row>
    <row r="926" spans="1:10" x14ac:dyDescent="0.25">
      <c r="A926" s="11"/>
      <c r="B926" s="11"/>
      <c r="C926" s="11"/>
      <c r="D926" s="11"/>
      <c r="E926" s="11"/>
      <c r="F926" s="3">
        <f>IF(B926="","",MAX(0,D926-E926))</f>
      </c>
      <c r="G926" s="11"/>
      <c r="H926" s="3">
        <f>IF(B926="","",IF(C926="","כן","לא"))</f>
      </c>
      <c r="I926" s="3">
        <f>IF(B926="","",IF(D926=0,"כן","לא"))</f>
      </c>
      <c r="J926" s="3">
        <f>IF(B926="","",IF(F926&gt;0,"כן","לא"))</f>
      </c>
    </row>
    <row r="927" spans="1:10" x14ac:dyDescent="0.25">
      <c r="A927" s="11"/>
      <c r="B927" s="11"/>
      <c r="C927" s="11"/>
      <c r="D927" s="11"/>
      <c r="E927" s="11"/>
      <c r="F927" s="3">
        <f>IF(B927="","",MAX(0,D927-E927))</f>
      </c>
      <c r="G927" s="11"/>
      <c r="H927" s="3">
        <f>IF(B927="","",IF(C927="","כן","לא"))</f>
      </c>
      <c r="I927" s="3">
        <f>IF(B927="","",IF(D927=0,"כן","לא"))</f>
      </c>
      <c r="J927" s="3">
        <f>IF(B927="","",IF(F927&gt;0,"כן","לא"))</f>
      </c>
    </row>
    <row r="928" spans="1:10" x14ac:dyDescent="0.25">
      <c r="A928" s="11"/>
      <c r="B928" s="11"/>
      <c r="C928" s="11"/>
      <c r="D928" s="11"/>
      <c r="E928" s="11"/>
      <c r="F928" s="3">
        <f>IF(B928="","",MAX(0,D928-E928))</f>
      </c>
      <c r="G928" s="11"/>
      <c r="H928" s="3">
        <f>IF(B928="","",IF(C928="","כן","לא"))</f>
      </c>
      <c r="I928" s="3">
        <f>IF(B928="","",IF(D928=0,"כן","לא"))</f>
      </c>
      <c r="J928" s="3">
        <f>IF(B928="","",IF(F928&gt;0,"כן","לא"))</f>
      </c>
    </row>
    <row r="929" spans="1:10" x14ac:dyDescent="0.25">
      <c r="A929" s="11"/>
      <c r="B929" s="11"/>
      <c r="C929" s="11"/>
      <c r="D929" s="11"/>
      <c r="E929" s="11"/>
      <c r="F929" s="3">
        <f>IF(B929="","",MAX(0,D929-E929))</f>
      </c>
      <c r="G929" s="11"/>
      <c r="H929" s="3">
        <f>IF(B929="","",IF(C929="","כן","לא"))</f>
      </c>
      <c r="I929" s="3">
        <f>IF(B929="","",IF(D929=0,"כן","לא"))</f>
      </c>
      <c r="J929" s="3">
        <f>IF(B929="","",IF(F929&gt;0,"כן","לא"))</f>
      </c>
    </row>
    <row r="930" spans="1:10" x14ac:dyDescent="0.25">
      <c r="A930" s="11"/>
      <c r="B930" s="11"/>
      <c r="C930" s="11"/>
      <c r="D930" s="11"/>
      <c r="E930" s="11"/>
      <c r="F930" s="3">
        <f>IF(B930="","",MAX(0,D930-E930))</f>
      </c>
      <c r="G930" s="11"/>
      <c r="H930" s="3">
        <f>IF(B930="","",IF(C930="","כן","לא"))</f>
      </c>
      <c r="I930" s="3">
        <f>IF(B930="","",IF(D930=0,"כן","לא"))</f>
      </c>
      <c r="J930" s="3">
        <f>IF(B930="","",IF(F930&gt;0,"כן","לא"))</f>
      </c>
    </row>
    <row r="931" spans="1:10" x14ac:dyDescent="0.25">
      <c r="A931" s="11"/>
      <c r="B931" s="11"/>
      <c r="C931" s="11"/>
      <c r="D931" s="11"/>
      <c r="E931" s="11"/>
      <c r="F931" s="3">
        <f>IF(B931="","",MAX(0,D931-E931))</f>
      </c>
      <c r="G931" s="11"/>
      <c r="H931" s="3">
        <f>IF(B931="","",IF(C931="","כן","לא"))</f>
      </c>
      <c r="I931" s="3">
        <f>IF(B931="","",IF(D931=0,"כן","לא"))</f>
      </c>
      <c r="J931" s="3">
        <f>IF(B931="","",IF(F931&gt;0,"כן","לא"))</f>
      </c>
    </row>
    <row r="932" spans="1:10" x14ac:dyDescent="0.25">
      <c r="A932" s="11"/>
      <c r="B932" s="11"/>
      <c r="C932" s="11"/>
      <c r="D932" s="11"/>
      <c r="E932" s="11"/>
      <c r="F932" s="3">
        <f>IF(B932="","",MAX(0,D932-E932))</f>
      </c>
      <c r="G932" s="11"/>
      <c r="H932" s="3">
        <f>IF(B932="","",IF(C932="","כן","לא"))</f>
      </c>
      <c r="I932" s="3">
        <f>IF(B932="","",IF(D932=0,"כן","לא"))</f>
      </c>
      <c r="J932" s="3">
        <f>IF(B932="","",IF(F932&gt;0,"כן","לא"))</f>
      </c>
    </row>
    <row r="933" spans="1:10" x14ac:dyDescent="0.25">
      <c r="A933" s="11"/>
      <c r="B933" s="11"/>
      <c r="C933" s="11"/>
      <c r="D933" s="11"/>
      <c r="E933" s="11"/>
      <c r="F933" s="3">
        <f>IF(B933="","",MAX(0,D933-E933))</f>
      </c>
      <c r="G933" s="11"/>
      <c r="H933" s="3">
        <f>IF(B933="","",IF(C933="","כן","לא"))</f>
      </c>
      <c r="I933" s="3">
        <f>IF(B933="","",IF(D933=0,"כן","לא"))</f>
      </c>
      <c r="J933" s="3">
        <f>IF(B933="","",IF(F933&gt;0,"כן","לא"))</f>
      </c>
    </row>
    <row r="934" spans="1:10" x14ac:dyDescent="0.25">
      <c r="A934" s="11"/>
      <c r="B934" s="11"/>
      <c r="C934" s="11"/>
      <c r="D934" s="11"/>
      <c r="E934" s="11"/>
      <c r="F934" s="3">
        <f>IF(B934="","",MAX(0,D934-E934))</f>
      </c>
      <c r="G934" s="11"/>
      <c r="H934" s="3">
        <f>IF(B934="","",IF(C934="","כן","לא"))</f>
      </c>
      <c r="I934" s="3">
        <f>IF(B934="","",IF(D934=0,"כן","לא"))</f>
      </c>
      <c r="J934" s="3">
        <f>IF(B934="","",IF(F934&gt;0,"כן","לא"))</f>
      </c>
    </row>
    <row r="935" spans="1:10" x14ac:dyDescent="0.25">
      <c r="A935" s="11"/>
      <c r="B935" s="11"/>
      <c r="C935" s="11"/>
      <c r="D935" s="11"/>
      <c r="E935" s="11"/>
      <c r="F935" s="3">
        <f>IF(B935="","",MAX(0,D935-E935))</f>
      </c>
      <c r="G935" s="11"/>
      <c r="H935" s="3">
        <f>IF(B935="","",IF(C935="","כן","לא"))</f>
      </c>
      <c r="I935" s="3">
        <f>IF(B935="","",IF(D935=0,"כן","לא"))</f>
      </c>
      <c r="J935" s="3">
        <f>IF(B935="","",IF(F935&gt;0,"כן","לא"))</f>
      </c>
    </row>
    <row r="936" spans="1:10" x14ac:dyDescent="0.25">
      <c r="A936" s="11"/>
      <c r="B936" s="11"/>
      <c r="C936" s="11"/>
      <c r="D936" s="11"/>
      <c r="E936" s="11"/>
      <c r="F936" s="3">
        <f>IF(B936="","",MAX(0,D936-E936))</f>
      </c>
      <c r="G936" s="11"/>
      <c r="H936" s="3">
        <f>IF(B936="","",IF(C936="","כן","לא"))</f>
      </c>
      <c r="I936" s="3">
        <f>IF(B936="","",IF(D936=0,"כן","לא"))</f>
      </c>
      <c r="J936" s="3">
        <f>IF(B936="","",IF(F936&gt;0,"כן","לא"))</f>
      </c>
    </row>
    <row r="937" spans="1:10" x14ac:dyDescent="0.25">
      <c r="A937" s="11"/>
      <c r="B937" s="11"/>
      <c r="C937" s="11"/>
      <c r="D937" s="11"/>
      <c r="E937" s="11"/>
      <c r="F937" s="3">
        <f>IF(B937="","",MAX(0,D937-E937))</f>
      </c>
      <c r="G937" s="11"/>
      <c r="H937" s="3">
        <f>IF(B937="","",IF(C937="","כן","לא"))</f>
      </c>
      <c r="I937" s="3">
        <f>IF(B937="","",IF(D937=0,"כן","לא"))</f>
      </c>
      <c r="J937" s="3">
        <f>IF(B937="","",IF(F937&gt;0,"כן","לא"))</f>
      </c>
    </row>
    <row r="938" spans="1:10" x14ac:dyDescent="0.25">
      <c r="A938" s="11"/>
      <c r="B938" s="11"/>
      <c r="C938" s="11"/>
      <c r="D938" s="11"/>
      <c r="E938" s="11"/>
      <c r="F938" s="3">
        <f>IF(B938="","",MAX(0,D938-E938))</f>
      </c>
      <c r="G938" s="11"/>
      <c r="H938" s="3">
        <f>IF(B938="","",IF(C938="","כן","לא"))</f>
      </c>
      <c r="I938" s="3">
        <f>IF(B938="","",IF(D938=0,"כן","לא"))</f>
      </c>
      <c r="J938" s="3">
        <f>IF(B938="","",IF(F938&gt;0,"כן","לא"))</f>
      </c>
    </row>
    <row r="939" spans="1:10" x14ac:dyDescent="0.25">
      <c r="A939" s="11"/>
      <c r="B939" s="11"/>
      <c r="C939" s="11"/>
      <c r="D939" s="11"/>
      <c r="E939" s="11"/>
      <c r="F939" s="3">
        <f>IF(B939="","",MAX(0,D939-E939))</f>
      </c>
      <c r="G939" s="11"/>
      <c r="H939" s="3">
        <f>IF(B939="","",IF(C939="","כן","לא"))</f>
      </c>
      <c r="I939" s="3">
        <f>IF(B939="","",IF(D939=0,"כן","לא"))</f>
      </c>
      <c r="J939" s="3">
        <f>IF(B939="","",IF(F939&gt;0,"כן","לא"))</f>
      </c>
    </row>
    <row r="940" spans="1:10" x14ac:dyDescent="0.25">
      <c r="A940" s="11"/>
      <c r="B940" s="11"/>
      <c r="C940" s="11"/>
      <c r="D940" s="11"/>
      <c r="E940" s="11"/>
      <c r="F940" s="3">
        <f>IF(B940="","",MAX(0,D940-E940))</f>
      </c>
      <c r="G940" s="11"/>
      <c r="H940" s="3">
        <f>IF(B940="","",IF(C940="","כן","לא"))</f>
      </c>
      <c r="I940" s="3">
        <f>IF(B940="","",IF(D940=0,"כן","לא"))</f>
      </c>
      <c r="J940" s="3">
        <f>IF(B940="","",IF(F940&gt;0,"כן","לא"))</f>
      </c>
    </row>
    <row r="941" spans="1:10" x14ac:dyDescent="0.25">
      <c r="A941" s="11"/>
      <c r="B941" s="11"/>
      <c r="C941" s="11"/>
      <c r="D941" s="11"/>
      <c r="E941" s="11"/>
      <c r="F941" s="3">
        <f>IF(B941="","",MAX(0,D941-E941))</f>
      </c>
      <c r="G941" s="11"/>
      <c r="H941" s="3">
        <f>IF(B941="","",IF(C941="","כן","לא"))</f>
      </c>
      <c r="I941" s="3">
        <f>IF(B941="","",IF(D941=0,"כן","לא"))</f>
      </c>
      <c r="J941" s="3">
        <f>IF(B941="","",IF(F941&gt;0,"כן","לא"))</f>
      </c>
    </row>
    <row r="942" spans="1:10" x14ac:dyDescent="0.25">
      <c r="A942" s="11"/>
      <c r="B942" s="11"/>
      <c r="C942" s="11"/>
      <c r="D942" s="11"/>
      <c r="E942" s="11"/>
      <c r="F942" s="3">
        <f>IF(B942="","",MAX(0,D942-E942))</f>
      </c>
      <c r="G942" s="11"/>
      <c r="H942" s="3">
        <f>IF(B942="","",IF(C942="","כן","לא"))</f>
      </c>
      <c r="I942" s="3">
        <f>IF(B942="","",IF(D942=0,"כן","לא"))</f>
      </c>
      <c r="J942" s="3">
        <f>IF(B942="","",IF(F942&gt;0,"כן","לא"))</f>
      </c>
    </row>
    <row r="943" spans="1:10" x14ac:dyDescent="0.25">
      <c r="A943" s="11"/>
      <c r="B943" s="11"/>
      <c r="C943" s="11"/>
      <c r="D943" s="11"/>
      <c r="E943" s="11"/>
      <c r="F943" s="3">
        <f>IF(B943="","",MAX(0,D943-E943))</f>
      </c>
      <c r="G943" s="11"/>
      <c r="H943" s="3">
        <f>IF(B943="","",IF(C943="","כן","לא"))</f>
      </c>
      <c r="I943" s="3">
        <f>IF(B943="","",IF(D943=0,"כן","לא"))</f>
      </c>
      <c r="J943" s="3">
        <f>IF(B943="","",IF(F943&gt;0,"כן","לא"))</f>
      </c>
    </row>
    <row r="944" spans="1:10" x14ac:dyDescent="0.25">
      <c r="A944" s="11"/>
      <c r="B944" s="11"/>
      <c r="C944" s="11"/>
      <c r="D944" s="11"/>
      <c r="E944" s="11"/>
      <c r="F944" s="3">
        <f>IF(B944="","",MAX(0,D944-E944))</f>
      </c>
      <c r="G944" s="11"/>
      <c r="H944" s="3">
        <f>IF(B944="","",IF(C944="","כן","לא"))</f>
      </c>
      <c r="I944" s="3">
        <f>IF(B944="","",IF(D944=0,"כן","לא"))</f>
      </c>
      <c r="J944" s="3">
        <f>IF(B944="","",IF(F944&gt;0,"כן","לא"))</f>
      </c>
    </row>
    <row r="945" spans="1:10" x14ac:dyDescent="0.25">
      <c r="A945" s="11"/>
      <c r="B945" s="11"/>
      <c r="C945" s="11"/>
      <c r="D945" s="11"/>
      <c r="E945" s="11"/>
      <c r="F945" s="3">
        <f>IF(B945="","",MAX(0,D945-E945))</f>
      </c>
      <c r="G945" s="11"/>
      <c r="H945" s="3">
        <f>IF(B945="","",IF(C945="","כן","לא"))</f>
      </c>
      <c r="I945" s="3">
        <f>IF(B945="","",IF(D945=0,"כן","לא"))</f>
      </c>
      <c r="J945" s="3">
        <f>IF(B945="","",IF(F945&gt;0,"כן","לא"))</f>
      </c>
    </row>
    <row r="946" spans="1:10" x14ac:dyDescent="0.25">
      <c r="A946" s="11"/>
      <c r="B946" s="11"/>
      <c r="C946" s="11"/>
      <c r="D946" s="11"/>
      <c r="E946" s="11"/>
      <c r="F946" s="3">
        <f>IF(B946="","",MAX(0,D946-E946))</f>
      </c>
      <c r="G946" s="11"/>
      <c r="H946" s="3">
        <f>IF(B946="","",IF(C946="","כן","לא"))</f>
      </c>
      <c r="I946" s="3">
        <f>IF(B946="","",IF(D946=0,"כן","לא"))</f>
      </c>
      <c r="J946" s="3">
        <f>IF(B946="","",IF(F946&gt;0,"כן","לא"))</f>
      </c>
    </row>
    <row r="947" spans="1:10" x14ac:dyDescent="0.25">
      <c r="A947" s="11"/>
      <c r="B947" s="11"/>
      <c r="C947" s="11"/>
      <c r="D947" s="11"/>
      <c r="E947" s="11"/>
      <c r="F947" s="3">
        <f>IF(B947="","",MAX(0,D947-E947))</f>
      </c>
      <c r="G947" s="11"/>
      <c r="H947" s="3">
        <f>IF(B947="","",IF(C947="","כן","לא"))</f>
      </c>
      <c r="I947" s="3">
        <f>IF(B947="","",IF(D947=0,"כן","לא"))</f>
      </c>
      <c r="J947" s="3">
        <f>IF(B947="","",IF(F947&gt;0,"כן","לא"))</f>
      </c>
    </row>
    <row r="948" spans="1:10" x14ac:dyDescent="0.25">
      <c r="A948" s="11"/>
      <c r="B948" s="11"/>
      <c r="C948" s="11"/>
      <c r="D948" s="11"/>
      <c r="E948" s="11"/>
      <c r="F948" s="3">
        <f>IF(B948="","",MAX(0,D948-E948))</f>
      </c>
      <c r="G948" s="11"/>
      <c r="H948" s="3">
        <f>IF(B948="","",IF(C948="","כן","לא"))</f>
      </c>
      <c r="I948" s="3">
        <f>IF(B948="","",IF(D948=0,"כן","לא"))</f>
      </c>
      <c r="J948" s="3">
        <f>IF(B948="","",IF(F948&gt;0,"כן","לא"))</f>
      </c>
    </row>
    <row r="949" spans="1:10" x14ac:dyDescent="0.25">
      <c r="A949" s="11"/>
      <c r="B949" s="11"/>
      <c r="C949" s="11"/>
      <c r="D949" s="11"/>
      <c r="E949" s="11"/>
      <c r="F949" s="3">
        <f>IF(B949="","",MAX(0,D949-E949))</f>
      </c>
      <c r="G949" s="11"/>
      <c r="H949" s="3">
        <f>IF(B949="","",IF(C949="","כן","לא"))</f>
      </c>
      <c r="I949" s="3">
        <f>IF(B949="","",IF(D949=0,"כן","לא"))</f>
      </c>
      <c r="J949" s="3">
        <f>IF(B949="","",IF(F949&gt;0,"כן","לא"))</f>
      </c>
    </row>
    <row r="950" spans="1:10" x14ac:dyDescent="0.25">
      <c r="A950" s="11"/>
      <c r="B950" s="11"/>
      <c r="C950" s="11"/>
      <c r="D950" s="11"/>
      <c r="E950" s="11"/>
      <c r="F950" s="3">
        <f>IF(B950="","",MAX(0,D950-E950))</f>
      </c>
      <c r="G950" s="11"/>
      <c r="H950" s="3">
        <f>IF(B950="","",IF(C950="","כן","לא"))</f>
      </c>
      <c r="I950" s="3">
        <f>IF(B950="","",IF(D950=0,"כן","לא"))</f>
      </c>
      <c r="J950" s="3">
        <f>IF(B950="","",IF(F950&gt;0,"כן","לא"))</f>
      </c>
    </row>
    <row r="951" spans="1:10" x14ac:dyDescent="0.25">
      <c r="A951" s="11"/>
      <c r="B951" s="11"/>
      <c r="C951" s="11"/>
      <c r="D951" s="11"/>
      <c r="E951" s="11"/>
      <c r="F951" s="3">
        <f>IF(B951="","",MAX(0,D951-E951))</f>
      </c>
      <c r="G951" s="11"/>
      <c r="H951" s="3">
        <f>IF(B951="","",IF(C951="","כן","לא"))</f>
      </c>
      <c r="I951" s="3">
        <f>IF(B951="","",IF(D951=0,"כן","לא"))</f>
      </c>
      <c r="J951" s="3">
        <f>IF(B951="","",IF(F951&gt;0,"כן","לא"))</f>
      </c>
    </row>
    <row r="952" spans="1:10" x14ac:dyDescent="0.25">
      <c r="A952" s="11"/>
      <c r="B952" s="11"/>
      <c r="C952" s="11"/>
      <c r="D952" s="11"/>
      <c r="E952" s="11"/>
      <c r="F952" s="3">
        <f>IF(B952="","",MAX(0,D952-E952))</f>
      </c>
      <c r="G952" s="11"/>
      <c r="H952" s="3">
        <f>IF(B952="","",IF(C952="","כן","לא"))</f>
      </c>
      <c r="I952" s="3">
        <f>IF(B952="","",IF(D952=0,"כן","לא"))</f>
      </c>
      <c r="J952" s="3">
        <f>IF(B952="","",IF(F952&gt;0,"כן","לא"))</f>
      </c>
    </row>
    <row r="953" spans="1:10" x14ac:dyDescent="0.25">
      <c r="A953" s="11"/>
      <c r="B953" s="11"/>
      <c r="C953" s="11"/>
      <c r="D953" s="11"/>
      <c r="E953" s="11"/>
      <c r="F953" s="3">
        <f>IF(B953="","",MAX(0,D953-E953))</f>
      </c>
      <c r="G953" s="11"/>
      <c r="H953" s="3">
        <f>IF(B953="","",IF(C953="","כן","לא"))</f>
      </c>
      <c r="I953" s="3">
        <f>IF(B953="","",IF(D953=0,"כן","לא"))</f>
      </c>
      <c r="J953" s="3">
        <f>IF(B953="","",IF(F953&gt;0,"כן","לא"))</f>
      </c>
    </row>
    <row r="954" spans="1:10" x14ac:dyDescent="0.25">
      <c r="A954" s="11"/>
      <c r="B954" s="11"/>
      <c r="C954" s="11"/>
      <c r="D954" s="11"/>
      <c r="E954" s="11"/>
      <c r="F954" s="3">
        <f>IF(B954="","",MAX(0,D954-E954))</f>
      </c>
      <c r="G954" s="11"/>
      <c r="H954" s="3">
        <f>IF(B954="","",IF(C954="","כן","לא"))</f>
      </c>
      <c r="I954" s="3">
        <f>IF(B954="","",IF(D954=0,"כן","לא"))</f>
      </c>
      <c r="J954" s="3">
        <f>IF(B954="","",IF(F954&gt;0,"כן","לא"))</f>
      </c>
    </row>
    <row r="955" spans="1:10" x14ac:dyDescent="0.25">
      <c r="A955" s="11"/>
      <c r="B955" s="11"/>
      <c r="C955" s="11"/>
      <c r="D955" s="11"/>
      <c r="E955" s="11"/>
      <c r="F955" s="3">
        <f>IF(B955="","",MAX(0,D955-E955))</f>
      </c>
      <c r="G955" s="11"/>
      <c r="H955" s="3">
        <f>IF(B955="","",IF(C955="","כן","לא"))</f>
      </c>
      <c r="I955" s="3">
        <f>IF(B955="","",IF(D955=0,"כן","לא"))</f>
      </c>
      <c r="J955" s="3">
        <f>IF(B955="","",IF(F955&gt;0,"כן","לא"))</f>
      </c>
    </row>
    <row r="956" spans="1:10" x14ac:dyDescent="0.25">
      <c r="A956" s="11"/>
      <c r="B956" s="11"/>
      <c r="C956" s="11"/>
      <c r="D956" s="11"/>
      <c r="E956" s="11"/>
      <c r="F956" s="3">
        <f>IF(B956="","",MAX(0,D956-E956))</f>
      </c>
      <c r="G956" s="11"/>
      <c r="H956" s="3">
        <f>IF(B956="","",IF(C956="","כן","לא"))</f>
      </c>
      <c r="I956" s="3">
        <f>IF(B956="","",IF(D956=0,"כן","לא"))</f>
      </c>
      <c r="J956" s="3">
        <f>IF(B956="","",IF(F956&gt;0,"כן","לא"))</f>
      </c>
    </row>
    <row r="957" spans="1:10" x14ac:dyDescent="0.25">
      <c r="A957" s="11"/>
      <c r="B957" s="11"/>
      <c r="C957" s="11"/>
      <c r="D957" s="11"/>
      <c r="E957" s="11"/>
      <c r="F957" s="3">
        <f>IF(B957="","",MAX(0,D957-E957))</f>
      </c>
      <c r="G957" s="11"/>
      <c r="H957" s="3">
        <f>IF(B957="","",IF(C957="","כן","לא"))</f>
      </c>
      <c r="I957" s="3">
        <f>IF(B957="","",IF(D957=0,"כן","לא"))</f>
      </c>
      <c r="J957" s="3">
        <f>IF(B957="","",IF(F957&gt;0,"כן","לא"))</f>
      </c>
    </row>
    <row r="958" spans="1:10" x14ac:dyDescent="0.25">
      <c r="A958" s="11"/>
      <c r="B958" s="11"/>
      <c r="C958" s="11"/>
      <c r="D958" s="11"/>
      <c r="E958" s="11"/>
      <c r="F958" s="3">
        <f>IF(B958="","",MAX(0,D958-E958))</f>
      </c>
      <c r="G958" s="11"/>
      <c r="H958" s="3">
        <f>IF(B958="","",IF(C958="","כן","לא"))</f>
      </c>
      <c r="I958" s="3">
        <f>IF(B958="","",IF(D958=0,"כן","לא"))</f>
      </c>
      <c r="J958" s="3">
        <f>IF(B958="","",IF(F958&gt;0,"כן","לא"))</f>
      </c>
    </row>
    <row r="959" spans="1:10" x14ac:dyDescent="0.25">
      <c r="A959" s="11"/>
      <c r="B959" s="11"/>
      <c r="C959" s="11"/>
      <c r="D959" s="11"/>
      <c r="E959" s="11"/>
      <c r="F959" s="3">
        <f>IF(B959="","",MAX(0,D959-E959))</f>
      </c>
      <c r="G959" s="11"/>
      <c r="H959" s="3">
        <f>IF(B959="","",IF(C959="","כן","לא"))</f>
      </c>
      <c r="I959" s="3">
        <f>IF(B959="","",IF(D959=0,"כן","לא"))</f>
      </c>
      <c r="J959" s="3">
        <f>IF(B959="","",IF(F959&gt;0,"כן","לא"))</f>
      </c>
    </row>
    <row r="960" spans="1:10" x14ac:dyDescent="0.25">
      <c r="A960" s="11"/>
      <c r="B960" s="11"/>
      <c r="C960" s="11"/>
      <c r="D960" s="11"/>
      <c r="E960" s="11"/>
      <c r="F960" s="3">
        <f>IF(B960="","",MAX(0,D960-E960))</f>
      </c>
      <c r="G960" s="11"/>
      <c r="H960" s="3">
        <f>IF(B960="","",IF(C960="","כן","לא"))</f>
      </c>
      <c r="I960" s="3">
        <f>IF(B960="","",IF(D960=0,"כן","לא"))</f>
      </c>
      <c r="J960" s="3">
        <f>IF(B960="","",IF(F960&gt;0,"כן","לא"))</f>
      </c>
    </row>
    <row r="961" spans="1:10" x14ac:dyDescent="0.25">
      <c r="A961" s="11"/>
      <c r="B961" s="11"/>
      <c r="C961" s="11"/>
      <c r="D961" s="11"/>
      <c r="E961" s="11"/>
      <c r="F961" s="3">
        <f>IF(B961="","",MAX(0,D961-E961))</f>
      </c>
      <c r="G961" s="11"/>
      <c r="H961" s="3">
        <f>IF(B961="","",IF(C961="","כן","לא"))</f>
      </c>
      <c r="I961" s="3">
        <f>IF(B961="","",IF(D961=0,"כן","לא"))</f>
      </c>
      <c r="J961" s="3">
        <f>IF(B961="","",IF(F961&gt;0,"כן","לא"))</f>
      </c>
    </row>
    <row r="962" spans="1:10" x14ac:dyDescent="0.25">
      <c r="A962" s="11"/>
      <c r="B962" s="11"/>
      <c r="C962" s="11"/>
      <c r="D962" s="11"/>
      <c r="E962" s="11"/>
      <c r="F962" s="3">
        <f>IF(B962="","",MAX(0,D962-E962))</f>
      </c>
      <c r="G962" s="11"/>
      <c r="H962" s="3">
        <f>IF(B962="","",IF(C962="","כן","לא"))</f>
      </c>
      <c r="I962" s="3">
        <f>IF(B962="","",IF(D962=0,"כן","לא"))</f>
      </c>
      <c r="J962" s="3">
        <f>IF(B962="","",IF(F962&gt;0,"כן","לא"))</f>
      </c>
    </row>
    <row r="963" spans="1:10" x14ac:dyDescent="0.25">
      <c r="A963" s="11"/>
      <c r="B963" s="11"/>
      <c r="C963" s="11"/>
      <c r="D963" s="11"/>
      <c r="E963" s="11"/>
      <c r="F963" s="3">
        <f>IF(B963="","",MAX(0,D963-E963))</f>
      </c>
      <c r="G963" s="11"/>
      <c r="H963" s="3">
        <f>IF(B963="","",IF(C963="","כן","לא"))</f>
      </c>
      <c r="I963" s="3">
        <f>IF(B963="","",IF(D963=0,"כן","לא"))</f>
      </c>
      <c r="J963" s="3">
        <f>IF(B963="","",IF(F963&gt;0,"כן","לא"))</f>
      </c>
    </row>
    <row r="964" spans="1:10" x14ac:dyDescent="0.25">
      <c r="A964" s="11"/>
      <c r="B964" s="11"/>
      <c r="C964" s="11"/>
      <c r="D964" s="11"/>
      <c r="E964" s="11"/>
      <c r="F964" s="3">
        <f>IF(B964="","",MAX(0,D964-E964))</f>
      </c>
      <c r="G964" s="11"/>
      <c r="H964" s="3">
        <f>IF(B964="","",IF(C964="","כן","לא"))</f>
      </c>
      <c r="I964" s="3">
        <f>IF(B964="","",IF(D964=0,"כן","לא"))</f>
      </c>
      <c r="J964" s="3">
        <f>IF(B964="","",IF(F964&gt;0,"כן","לא"))</f>
      </c>
    </row>
    <row r="965" spans="1:10" x14ac:dyDescent="0.25">
      <c r="A965" s="11"/>
      <c r="B965" s="11"/>
      <c r="C965" s="11"/>
      <c r="D965" s="11"/>
      <c r="E965" s="11"/>
      <c r="F965" s="3">
        <f>IF(B965="","",MAX(0,D965-E965))</f>
      </c>
      <c r="G965" s="11"/>
      <c r="H965" s="3">
        <f>IF(B965="","",IF(C965="","כן","לא"))</f>
      </c>
      <c r="I965" s="3">
        <f>IF(B965="","",IF(D965=0,"כן","לא"))</f>
      </c>
      <c r="J965" s="3">
        <f>IF(B965="","",IF(F965&gt;0,"כן","לא"))</f>
      </c>
    </row>
    <row r="966" spans="1:10" x14ac:dyDescent="0.25">
      <c r="A966" s="11"/>
      <c r="B966" s="11"/>
      <c r="C966" s="11"/>
      <c r="D966" s="11"/>
      <c r="E966" s="11"/>
      <c r="F966" s="3">
        <f>IF(B966="","",MAX(0,D966-E966))</f>
      </c>
      <c r="G966" s="11"/>
      <c r="H966" s="3">
        <f>IF(B966="","",IF(C966="","כן","לא"))</f>
      </c>
      <c r="I966" s="3">
        <f>IF(B966="","",IF(D966=0,"כן","לא"))</f>
      </c>
      <c r="J966" s="3">
        <f>IF(B966="","",IF(F966&gt;0,"כן","לא"))</f>
      </c>
    </row>
    <row r="967" spans="1:10" x14ac:dyDescent="0.25">
      <c r="A967" s="11"/>
      <c r="B967" s="11"/>
      <c r="C967" s="11"/>
      <c r="D967" s="11"/>
      <c r="E967" s="11"/>
      <c r="F967" s="3">
        <f>IF(B967="","",MAX(0,D967-E967))</f>
      </c>
      <c r="G967" s="11"/>
      <c r="H967" s="3">
        <f>IF(B967="","",IF(C967="","כן","לא"))</f>
      </c>
      <c r="I967" s="3">
        <f>IF(B967="","",IF(D967=0,"כן","לא"))</f>
      </c>
      <c r="J967" s="3">
        <f>IF(B967="","",IF(F967&gt;0,"כן","לא"))</f>
      </c>
    </row>
    <row r="968" spans="1:10" x14ac:dyDescent="0.25">
      <c r="A968" s="11"/>
      <c r="B968" s="11"/>
      <c r="C968" s="11"/>
      <c r="D968" s="11"/>
      <c r="E968" s="11"/>
      <c r="F968" s="3">
        <f>IF(B968="","",MAX(0,D968-E968))</f>
      </c>
      <c r="G968" s="11"/>
      <c r="H968" s="3">
        <f>IF(B968="","",IF(C968="","כן","לא"))</f>
      </c>
      <c r="I968" s="3">
        <f>IF(B968="","",IF(D968=0,"כן","לא"))</f>
      </c>
      <c r="J968" s="3">
        <f>IF(B968="","",IF(F968&gt;0,"כן","לא"))</f>
      </c>
    </row>
    <row r="969" spans="1:10" x14ac:dyDescent="0.25">
      <c r="A969" s="11"/>
      <c r="B969" s="11"/>
      <c r="C969" s="11"/>
      <c r="D969" s="11"/>
      <c r="E969" s="11"/>
      <c r="F969" s="3">
        <f>IF(B969="","",MAX(0,D969-E969))</f>
      </c>
      <c r="G969" s="11"/>
      <c r="H969" s="3">
        <f>IF(B969="","",IF(C969="","כן","לא"))</f>
      </c>
      <c r="I969" s="3">
        <f>IF(B969="","",IF(D969=0,"כן","לא"))</f>
      </c>
      <c r="J969" s="3">
        <f>IF(B969="","",IF(F969&gt;0,"כן","לא"))</f>
      </c>
    </row>
    <row r="970" spans="1:10" x14ac:dyDescent="0.25">
      <c r="A970" s="11"/>
      <c r="B970" s="11"/>
      <c r="C970" s="11"/>
      <c r="D970" s="11"/>
      <c r="E970" s="11"/>
      <c r="F970" s="3">
        <f>IF(B970="","",MAX(0,D970-E970))</f>
      </c>
      <c r="G970" s="11"/>
      <c r="H970" s="3">
        <f>IF(B970="","",IF(C970="","כן","לא"))</f>
      </c>
      <c r="I970" s="3">
        <f>IF(B970="","",IF(D970=0,"כן","לא"))</f>
      </c>
      <c r="J970" s="3">
        <f>IF(B970="","",IF(F970&gt;0,"כן","לא"))</f>
      </c>
    </row>
    <row r="971" spans="1:10" x14ac:dyDescent="0.25">
      <c r="A971" s="11"/>
      <c r="B971" s="11"/>
      <c r="C971" s="11"/>
      <c r="D971" s="11"/>
      <c r="E971" s="11"/>
      <c r="F971" s="3">
        <f>IF(B971="","",MAX(0,D971-E971))</f>
      </c>
      <c r="G971" s="11"/>
      <c r="H971" s="3">
        <f>IF(B971="","",IF(C971="","כן","לא"))</f>
      </c>
      <c r="I971" s="3">
        <f>IF(B971="","",IF(D971=0,"כן","לא"))</f>
      </c>
      <c r="J971" s="3">
        <f>IF(B971="","",IF(F971&gt;0,"כן","לא"))</f>
      </c>
    </row>
    <row r="972" spans="1:10" x14ac:dyDescent="0.25">
      <c r="A972" s="11"/>
      <c r="B972" s="11"/>
      <c r="C972" s="11"/>
      <c r="D972" s="11"/>
      <c r="E972" s="11"/>
      <c r="F972" s="3">
        <f>IF(B972="","",MAX(0,D972-E972))</f>
      </c>
      <c r="G972" s="11"/>
      <c r="H972" s="3">
        <f>IF(B972="","",IF(C972="","כן","לא"))</f>
      </c>
      <c r="I972" s="3">
        <f>IF(B972="","",IF(D972=0,"כן","לא"))</f>
      </c>
      <c r="J972" s="3">
        <f>IF(B972="","",IF(F972&gt;0,"כן","לא"))</f>
      </c>
    </row>
    <row r="973" spans="1:10" x14ac:dyDescent="0.25">
      <c r="A973" s="11"/>
      <c r="B973" s="11"/>
      <c r="C973" s="11"/>
      <c r="D973" s="11"/>
      <c r="E973" s="11"/>
      <c r="F973" s="3">
        <f>IF(B973="","",MAX(0,D973-E973))</f>
      </c>
      <c r="G973" s="11"/>
      <c r="H973" s="3">
        <f>IF(B973="","",IF(C973="","כן","לא"))</f>
      </c>
      <c r="I973" s="3">
        <f>IF(B973="","",IF(D973=0,"כן","לא"))</f>
      </c>
      <c r="J973" s="3">
        <f>IF(B973="","",IF(F973&gt;0,"כן","לא"))</f>
      </c>
    </row>
    <row r="974" spans="1:10" x14ac:dyDescent="0.25">
      <c r="A974" s="11"/>
      <c r="B974" s="11"/>
      <c r="C974" s="11"/>
      <c r="D974" s="11"/>
      <c r="E974" s="11"/>
      <c r="F974" s="3">
        <f>IF(B974="","",MAX(0,D974-E974))</f>
      </c>
      <c r="G974" s="11"/>
      <c r="H974" s="3">
        <f>IF(B974="","",IF(C974="","כן","לא"))</f>
      </c>
      <c r="I974" s="3">
        <f>IF(B974="","",IF(D974=0,"כן","לא"))</f>
      </c>
      <c r="J974" s="3">
        <f>IF(B974="","",IF(F974&gt;0,"כן","לא"))</f>
      </c>
    </row>
    <row r="975" spans="1:10" x14ac:dyDescent="0.25">
      <c r="A975" s="11"/>
      <c r="B975" s="11"/>
      <c r="C975" s="11"/>
      <c r="D975" s="11"/>
      <c r="E975" s="11"/>
      <c r="F975" s="3">
        <f>IF(B975="","",MAX(0,D975-E975))</f>
      </c>
      <c r="G975" s="11"/>
      <c r="H975" s="3">
        <f>IF(B975="","",IF(C975="","כן","לא"))</f>
      </c>
      <c r="I975" s="3">
        <f>IF(B975="","",IF(D975=0,"כן","לא"))</f>
      </c>
      <c r="J975" s="3">
        <f>IF(B975="","",IF(F975&gt;0,"כן","לא"))</f>
      </c>
    </row>
    <row r="976" spans="1:10" x14ac:dyDescent="0.25">
      <c r="A976" s="11"/>
      <c r="B976" s="11"/>
      <c r="C976" s="11"/>
      <c r="D976" s="11"/>
      <c r="E976" s="11"/>
      <c r="F976" s="3">
        <f>IF(B976="","",MAX(0,D976-E976))</f>
      </c>
      <c r="G976" s="11"/>
      <c r="H976" s="3">
        <f>IF(B976="","",IF(C976="","כן","לא"))</f>
      </c>
      <c r="I976" s="3">
        <f>IF(B976="","",IF(D976=0,"כן","לא"))</f>
      </c>
      <c r="J976" s="3">
        <f>IF(B976="","",IF(F976&gt;0,"כן","לא"))</f>
      </c>
    </row>
    <row r="977" spans="1:10" x14ac:dyDescent="0.25">
      <c r="A977" s="11"/>
      <c r="B977" s="11"/>
      <c r="C977" s="11"/>
      <c r="D977" s="11"/>
      <c r="E977" s="11"/>
      <c r="F977" s="3">
        <f>IF(B977="","",MAX(0,D977-E977))</f>
      </c>
      <c r="G977" s="11"/>
      <c r="H977" s="3">
        <f>IF(B977="","",IF(C977="","כן","לא"))</f>
      </c>
      <c r="I977" s="3">
        <f>IF(B977="","",IF(D977=0,"כן","לא"))</f>
      </c>
      <c r="J977" s="3">
        <f>IF(B977="","",IF(F977&gt;0,"כן","לא"))</f>
      </c>
    </row>
    <row r="978" spans="1:10" x14ac:dyDescent="0.25">
      <c r="A978" s="11"/>
      <c r="B978" s="11"/>
      <c r="C978" s="11"/>
      <c r="D978" s="11"/>
      <c r="E978" s="11"/>
      <c r="F978" s="3">
        <f>IF(B978="","",MAX(0,D978-E978))</f>
      </c>
      <c r="G978" s="11"/>
      <c r="H978" s="3">
        <f>IF(B978="","",IF(C978="","כן","לא"))</f>
      </c>
      <c r="I978" s="3">
        <f>IF(B978="","",IF(D978=0,"כן","לא"))</f>
      </c>
      <c r="J978" s="3">
        <f>IF(B978="","",IF(F978&gt;0,"כן","לא"))</f>
      </c>
    </row>
    <row r="979" spans="1:10" x14ac:dyDescent="0.25">
      <c r="A979" s="11"/>
      <c r="B979" s="11"/>
      <c r="C979" s="11"/>
      <c r="D979" s="11"/>
      <c r="E979" s="11"/>
      <c r="F979" s="3">
        <f>IF(B979="","",MAX(0,D979-E979))</f>
      </c>
      <c r="G979" s="11"/>
      <c r="H979" s="3">
        <f>IF(B979="","",IF(C979="","כן","לא"))</f>
      </c>
      <c r="I979" s="3">
        <f>IF(B979="","",IF(D979=0,"כן","לא"))</f>
      </c>
      <c r="J979" s="3">
        <f>IF(B979="","",IF(F979&gt;0,"כן","לא"))</f>
      </c>
    </row>
    <row r="980" spans="1:10" x14ac:dyDescent="0.25">
      <c r="A980" s="11"/>
      <c r="B980" s="11"/>
      <c r="C980" s="11"/>
      <c r="D980" s="11"/>
      <c r="E980" s="11"/>
      <c r="F980" s="3">
        <f>IF(B980="","",MAX(0,D980-E980))</f>
      </c>
      <c r="G980" s="11"/>
      <c r="H980" s="3">
        <f>IF(B980="","",IF(C980="","כן","לא"))</f>
      </c>
      <c r="I980" s="3">
        <f>IF(B980="","",IF(D980=0,"כן","לא"))</f>
      </c>
      <c r="J980" s="3">
        <f>IF(B980="","",IF(F980&gt;0,"כן","לא"))</f>
      </c>
    </row>
    <row r="981" spans="1:10" x14ac:dyDescent="0.25">
      <c r="A981" s="11"/>
      <c r="B981" s="11"/>
      <c r="C981" s="11"/>
      <c r="D981" s="11"/>
      <c r="E981" s="11"/>
      <c r="F981" s="3">
        <f>IF(B981="","",MAX(0,D981-E981))</f>
      </c>
      <c r="G981" s="11"/>
      <c r="H981" s="3">
        <f>IF(B981="","",IF(C981="","כן","לא"))</f>
      </c>
      <c r="I981" s="3">
        <f>IF(B981="","",IF(D981=0,"כן","לא"))</f>
      </c>
      <c r="J981" s="3">
        <f>IF(B981="","",IF(F981&gt;0,"כן","לא"))</f>
      </c>
    </row>
    <row r="982" spans="1:10" x14ac:dyDescent="0.25">
      <c r="A982" s="11"/>
      <c r="B982" s="11"/>
      <c r="C982" s="11"/>
      <c r="D982" s="11"/>
      <c r="E982" s="11"/>
      <c r="F982" s="3">
        <f>IF(B982="","",MAX(0,D982-E982))</f>
      </c>
      <c r="G982" s="11"/>
      <c r="H982" s="3">
        <f>IF(B982="","",IF(C982="","כן","לא"))</f>
      </c>
      <c r="I982" s="3">
        <f>IF(B982="","",IF(D982=0,"כן","לא"))</f>
      </c>
      <c r="J982" s="3">
        <f>IF(B982="","",IF(F982&gt;0,"כן","לא"))</f>
      </c>
    </row>
    <row r="983" spans="1:10" x14ac:dyDescent="0.25">
      <c r="A983" s="11"/>
      <c r="B983" s="11"/>
      <c r="C983" s="11"/>
      <c r="D983" s="11"/>
      <c r="E983" s="11"/>
      <c r="F983" s="3">
        <f>IF(B983="","",MAX(0,D983-E983))</f>
      </c>
      <c r="G983" s="11"/>
      <c r="H983" s="3">
        <f>IF(B983="","",IF(C983="","כן","לא"))</f>
      </c>
      <c r="I983" s="3">
        <f>IF(B983="","",IF(D983=0,"כן","לא"))</f>
      </c>
      <c r="J983" s="3">
        <f>IF(B983="","",IF(F983&gt;0,"כן","לא"))</f>
      </c>
    </row>
    <row r="984" spans="1:10" x14ac:dyDescent="0.25">
      <c r="A984" s="11"/>
      <c r="B984" s="11"/>
      <c r="C984" s="11"/>
      <c r="D984" s="11"/>
      <c r="E984" s="11"/>
      <c r="F984" s="3">
        <f>IF(B984="","",MAX(0,D984-E984))</f>
      </c>
      <c r="G984" s="11"/>
      <c r="H984" s="3">
        <f>IF(B984="","",IF(C984="","כן","לא"))</f>
      </c>
      <c r="I984" s="3">
        <f>IF(B984="","",IF(D984=0,"כן","לא"))</f>
      </c>
      <c r="J984" s="3">
        <f>IF(B984="","",IF(F984&gt;0,"כן","לא"))</f>
      </c>
    </row>
    <row r="985" spans="1:10" x14ac:dyDescent="0.25">
      <c r="A985" s="11"/>
      <c r="B985" s="11"/>
      <c r="C985" s="11"/>
      <c r="D985" s="11"/>
      <c r="E985" s="11"/>
      <c r="F985" s="3">
        <f>IF(B985="","",MAX(0,D985-E985))</f>
      </c>
      <c r="G985" s="11"/>
      <c r="H985" s="3">
        <f>IF(B985="","",IF(C985="","כן","לא"))</f>
      </c>
      <c r="I985" s="3">
        <f>IF(B985="","",IF(D985=0,"כן","לא"))</f>
      </c>
      <c r="J985" s="3">
        <f>IF(B985="","",IF(F985&gt;0,"כן","לא"))</f>
      </c>
    </row>
    <row r="986" spans="1:10" x14ac:dyDescent="0.25">
      <c r="A986" s="11"/>
      <c r="B986" s="11"/>
      <c r="C986" s="11"/>
      <c r="D986" s="11"/>
      <c r="E986" s="11"/>
      <c r="F986" s="3">
        <f>IF(B986="","",MAX(0,D986-E986))</f>
      </c>
      <c r="G986" s="11"/>
      <c r="H986" s="3">
        <f>IF(B986="","",IF(C986="","כן","לא"))</f>
      </c>
      <c r="I986" s="3">
        <f>IF(B986="","",IF(D986=0,"כן","לא"))</f>
      </c>
      <c r="J986" s="3">
        <f>IF(B986="","",IF(F986&gt;0,"כן","לא"))</f>
      </c>
    </row>
    <row r="987" spans="1:10" x14ac:dyDescent="0.25">
      <c r="A987" s="11"/>
      <c r="B987" s="11"/>
      <c r="C987" s="11"/>
      <c r="D987" s="11"/>
      <c r="E987" s="11"/>
      <c r="F987" s="3">
        <f>IF(B987="","",MAX(0,D987-E987))</f>
      </c>
      <c r="G987" s="11"/>
      <c r="H987" s="3">
        <f>IF(B987="","",IF(C987="","כן","לא"))</f>
      </c>
      <c r="I987" s="3">
        <f>IF(B987="","",IF(D987=0,"כן","לא"))</f>
      </c>
      <c r="J987" s="3">
        <f>IF(B987="","",IF(F987&gt;0,"כן","לא"))</f>
      </c>
    </row>
    <row r="988" spans="1:10" x14ac:dyDescent="0.25">
      <c r="A988" s="11"/>
      <c r="B988" s="11"/>
      <c r="C988" s="11"/>
      <c r="D988" s="11"/>
      <c r="E988" s="11"/>
      <c r="F988" s="3">
        <f>IF(B988="","",MAX(0,D988-E988))</f>
      </c>
      <c r="G988" s="11"/>
      <c r="H988" s="3">
        <f>IF(B988="","",IF(C988="","כן","לא"))</f>
      </c>
      <c r="I988" s="3">
        <f>IF(B988="","",IF(D988=0,"כן","לא"))</f>
      </c>
      <c r="J988" s="3">
        <f>IF(B988="","",IF(F988&gt;0,"כן","לא"))</f>
      </c>
    </row>
    <row r="989" spans="1:10" x14ac:dyDescent="0.25">
      <c r="A989" s="11"/>
      <c r="B989" s="11"/>
      <c r="C989" s="11"/>
      <c r="D989" s="11"/>
      <c r="E989" s="11"/>
      <c r="F989" s="3">
        <f>IF(B989="","",MAX(0,D989-E989))</f>
      </c>
      <c r="G989" s="11"/>
      <c r="H989" s="3">
        <f>IF(B989="","",IF(C989="","כן","לא"))</f>
      </c>
      <c r="I989" s="3">
        <f>IF(B989="","",IF(D989=0,"כן","לא"))</f>
      </c>
      <c r="J989" s="3">
        <f>IF(B989="","",IF(F989&gt;0,"כן","לא"))</f>
      </c>
    </row>
    <row r="990" spans="1:10" x14ac:dyDescent="0.25">
      <c r="A990" s="11"/>
      <c r="B990" s="11"/>
      <c r="C990" s="11"/>
      <c r="D990" s="11"/>
      <c r="E990" s="11"/>
      <c r="F990" s="3">
        <f>IF(B990="","",MAX(0,D990-E990))</f>
      </c>
      <c r="G990" s="11"/>
      <c r="H990" s="3">
        <f>IF(B990="","",IF(C990="","כן","לא"))</f>
      </c>
      <c r="I990" s="3">
        <f>IF(B990="","",IF(D990=0,"כן","לא"))</f>
      </c>
      <c r="J990" s="3">
        <f>IF(B990="","",IF(F990&gt;0,"כן","לא"))</f>
      </c>
    </row>
    <row r="991" spans="1:10" x14ac:dyDescent="0.25">
      <c r="A991" s="11"/>
      <c r="B991" s="11"/>
      <c r="C991" s="11"/>
      <c r="D991" s="11"/>
      <c r="E991" s="11"/>
      <c r="F991" s="3">
        <f>IF(B991="","",MAX(0,D991-E991))</f>
      </c>
      <c r="G991" s="11"/>
      <c r="H991" s="3">
        <f>IF(B991="","",IF(C991="","כן","לא"))</f>
      </c>
      <c r="I991" s="3">
        <f>IF(B991="","",IF(D991=0,"כן","לא"))</f>
      </c>
      <c r="J991" s="3">
        <f>IF(B991="","",IF(F991&gt;0,"כן","לא"))</f>
      </c>
    </row>
    <row r="992" spans="1:10" x14ac:dyDescent="0.25">
      <c r="A992" s="11"/>
      <c r="B992" s="11"/>
      <c r="C992" s="11"/>
      <c r="D992" s="11"/>
      <c r="E992" s="11"/>
      <c r="F992" s="3">
        <f>IF(B992="","",MAX(0,D992-E992))</f>
      </c>
      <c r="G992" s="11"/>
      <c r="H992" s="3">
        <f>IF(B992="","",IF(C992="","כן","לא"))</f>
      </c>
      <c r="I992" s="3">
        <f>IF(B992="","",IF(D992=0,"כן","לא"))</f>
      </c>
      <c r="J992" s="3">
        <f>IF(B992="","",IF(F992&gt;0,"כן","לא"))</f>
      </c>
    </row>
    <row r="993" spans="1:10" x14ac:dyDescent="0.25">
      <c r="A993" s="11"/>
      <c r="B993" s="11"/>
      <c r="C993" s="11"/>
      <c r="D993" s="11"/>
      <c r="E993" s="11"/>
      <c r="F993" s="3">
        <f>IF(B993="","",MAX(0,D993-E993))</f>
      </c>
      <c r="G993" s="11"/>
      <c r="H993" s="3">
        <f>IF(B993="","",IF(C993="","כן","לא"))</f>
      </c>
      <c r="I993" s="3">
        <f>IF(B993="","",IF(D993=0,"כן","לא"))</f>
      </c>
      <c r="J993" s="3">
        <f>IF(B993="","",IF(F993&gt;0,"כן","לא"))</f>
      </c>
    </row>
    <row r="994" spans="1:10" x14ac:dyDescent="0.25">
      <c r="A994" s="11"/>
      <c r="B994" s="11"/>
      <c r="C994" s="11"/>
      <c r="D994" s="11"/>
      <c r="E994" s="11"/>
      <c r="F994" s="3">
        <f>IF(B994="","",MAX(0,D994-E994))</f>
      </c>
      <c r="G994" s="11"/>
      <c r="H994" s="3">
        <f>IF(B994="","",IF(C994="","כן","לא"))</f>
      </c>
      <c r="I994" s="3">
        <f>IF(B994="","",IF(D994=0,"כן","לא"))</f>
      </c>
      <c r="J994" s="3">
        <f>IF(B994="","",IF(F994&gt;0,"כן","לא"))</f>
      </c>
    </row>
    <row r="995" spans="1:10" x14ac:dyDescent="0.25">
      <c r="A995" s="11"/>
      <c r="B995" s="11"/>
      <c r="C995" s="11"/>
      <c r="D995" s="11"/>
      <c r="E995" s="11"/>
      <c r="F995" s="3">
        <f>IF(B995="","",MAX(0,D995-E995))</f>
      </c>
      <c r="G995" s="11"/>
      <c r="H995" s="3">
        <f>IF(B995="","",IF(C995="","כן","לא"))</f>
      </c>
      <c r="I995" s="3">
        <f>IF(B995="","",IF(D995=0,"כן","לא"))</f>
      </c>
      <c r="J995" s="3">
        <f>IF(B995="","",IF(F995&gt;0,"כן","לא"))</f>
      </c>
    </row>
    <row r="996" spans="1:10" x14ac:dyDescent="0.25">
      <c r="A996" s="11"/>
      <c r="B996" s="11"/>
      <c r="C996" s="11"/>
      <c r="D996" s="11"/>
      <c r="E996" s="11"/>
      <c r="F996" s="3">
        <f>IF(B996="","",MAX(0,D996-E996))</f>
      </c>
      <c r="G996" s="11"/>
      <c r="H996" s="3">
        <f>IF(B996="","",IF(C996="","כן","לא"))</f>
      </c>
      <c r="I996" s="3">
        <f>IF(B996="","",IF(D996=0,"כן","לא"))</f>
      </c>
      <c r="J996" s="3">
        <f>IF(B996="","",IF(F996&gt;0,"כן","לא"))</f>
      </c>
    </row>
    <row r="997" spans="1:10" x14ac:dyDescent="0.25">
      <c r="A997" s="11"/>
      <c r="B997" s="11"/>
      <c r="C997" s="11"/>
      <c r="D997" s="11"/>
      <c r="E997" s="11"/>
      <c r="F997" s="3">
        <f>IF(B997="","",MAX(0,D997-E997))</f>
      </c>
      <c r="G997" s="11"/>
      <c r="H997" s="3">
        <f>IF(B997="","",IF(C997="","כן","לא"))</f>
      </c>
      <c r="I997" s="3">
        <f>IF(B997="","",IF(D997=0,"כן","לא"))</f>
      </c>
      <c r="J997" s="3">
        <f>IF(B997="","",IF(F997&gt;0,"כן","לא"))</f>
      </c>
    </row>
    <row r="998" spans="1:10" x14ac:dyDescent="0.25">
      <c r="A998" s="11"/>
      <c r="B998" s="11"/>
      <c r="C998" s="11"/>
      <c r="D998" s="11"/>
      <c r="E998" s="11"/>
      <c r="F998" s="3">
        <f>IF(B998="","",MAX(0,D998-E998))</f>
      </c>
      <c r="G998" s="11"/>
      <c r="H998" s="3">
        <f>IF(B998="","",IF(C998="","כן","לא"))</f>
      </c>
      <c r="I998" s="3">
        <f>IF(B998="","",IF(D998=0,"כן","לא"))</f>
      </c>
      <c r="J998" s="3">
        <f>IF(B998="","",IF(F998&gt;0,"כן","לא"))</f>
      </c>
    </row>
    <row r="999" spans="1:10" x14ac:dyDescent="0.25">
      <c r="A999" s="11"/>
      <c r="B999" s="11"/>
      <c r="C999" s="11"/>
      <c r="D999" s="11"/>
      <c r="E999" s="11"/>
      <c r="F999" s="3">
        <f>IF(B999="","",MAX(0,D999-E999))</f>
      </c>
      <c r="G999" s="11"/>
      <c r="H999" s="3">
        <f>IF(B999="","",IF(C999="","כן","לא"))</f>
      </c>
      <c r="I999" s="3">
        <f>IF(B999="","",IF(D999=0,"כן","לא"))</f>
      </c>
      <c r="J999" s="3">
        <f>IF(B999="","",IF(F999&gt;0,"כן","לא"))</f>
      </c>
    </row>
  </sheetData>
  <sheetProtection sheet="1" formatColumns="0" formatRows="0" sort="0" autoFilter="0" algorithmName="SHA-512" hashValue="vocqEUXRPv2/pihWlI6b4jg8uMhtKZISvZc7a04dfHEZB9dEcEB0sNHIjjKhip2Aaf3qERoodjuK87zMqTpCyg==" saltValue="axruhYQXZsBD1/wrfoBqrQ==" spinCount="100000"/>
  <autoFilter ref="A1:J1"/>
  <dataValidations count="2">
    <dataValidation type="list" allowBlank="1" sqref="G100:G999">
      <formula1>"פתוח לתשלום,שולם חלקית,שולם"</formula1>
    </dataValidation>
    <dataValidation type="list" allowBlank="1" sqref="G11:G999">
      <formula1>"פתוח לתשלום,שולם חלקית,שולם"</formula1>
    </dataValidation>
  </dataValidations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2" customWidth="1"/>
    <col min="3" max="3" width="31" customWidth="1"/>
  </cols>
  <sheetData>
    <row r="1" ht="24" customHeight="1" spans="1:3" x14ac:dyDescent="0.25">
      <c r="A1" s="9" t="s">
        <v>110</v>
      </c>
      <c r="B1" s="9" t="s">
        <v>1</v>
      </c>
      <c r="C1" s="9" t="s">
        <v>2</v>
      </c>
    </row>
    <row r="2" spans="1:3" x14ac:dyDescent="0.25">
      <c r="A2" s="4" t="s">
        <v>186</v>
      </c>
      <c r="B2" s="5">
        <f>B13</f>
      </c>
      <c r="C2" s="4" t="s">
        <v>187</v>
      </c>
    </row>
    <row r="3" spans="1:3" x14ac:dyDescent="0.25">
      <c r="A3" s="4" t="s">
        <v>188</v>
      </c>
      <c r="B3" s="5">
        <f>'07_Suppliers'!B7</f>
      </c>
      <c r="C3" s="4" t="s">
        <v>167</v>
      </c>
    </row>
    <row r="4" spans="1:3" x14ac:dyDescent="0.25">
      <c r="A4" s="4" t="s">
        <v>43</v>
      </c>
      <c r="B4" s="5">
        <f>IFERROR(B2/'01_סיכום_האירוע'!B6,0)</f>
      </c>
      <c r="C4" s="4" t="s">
        <v>189</v>
      </c>
    </row>
    <row r="5" spans="1:3" x14ac:dyDescent="0.25">
      <c r="A5" s="4" t="s">
        <v>190</v>
      </c>
      <c r="B5" s="5">
        <f>IFERROR(B2/COUNTIF('05_Seating'!A14:A999,"&gt;0"),0)</f>
      </c>
      <c r="C5" s="4" t="s">
        <v>191</v>
      </c>
    </row>
    <row r="6" spans="1:3" x14ac:dyDescent="0.25">
      <c r="A6" s="4" t="s">
        <v>192</v>
      </c>
      <c r="B6" s="5">
        <f>IFERROR(INDEX(A11:A12,MATCH(MAX(B11:B12),B11:B12,0)),"")</f>
      </c>
      <c r="C6" s="4" t="s">
        <v>193</v>
      </c>
    </row>
    <row r="7" spans="1:3" x14ac:dyDescent="0.25">
      <c r="A7" s="4" t="s">
        <v>194</v>
      </c>
      <c r="B7" s="5">
        <f>IFERROR(B3/B2,0)</f>
      </c>
      <c r="C7" s="4" t="s">
        <v>195</v>
      </c>
    </row>
    <row r="8" spans="1:3" x14ac:dyDescent="0.25">
      <c r="A8" s="4" t="s">
        <v>42</v>
      </c>
      <c r="B8" s="5">
        <f>'07_Suppliers'!B8</f>
      </c>
      <c r="C8" s="4" t="s">
        <v>165</v>
      </c>
    </row>
    <row r="9" spans="1:3" x14ac:dyDescent="0.25">
      <c r="A9" s="6" t="s">
        <v>50</v>
      </c>
      <c r="B9" s="6" t="s">
        <v>50</v>
      </c>
      <c r="C9" s="6" t="s">
        <v>50</v>
      </c>
    </row>
    <row r="10" spans="1:3" x14ac:dyDescent="0.25">
      <c r="A10" s="4" t="s">
        <v>196</v>
      </c>
      <c r="B10" s="4" t="s">
        <v>197</v>
      </c>
      <c r="C10" s="4" t="s">
        <v>70</v>
      </c>
    </row>
    <row r="11" spans="1:3" x14ac:dyDescent="0.25">
      <c r="A11" s="2" t="s">
        <v>41</v>
      </c>
      <c r="B11" s="3">
        <f>'07_Suppliers'!B6</f>
      </c>
      <c r="C11" s="2" t="s">
        <v>198</v>
      </c>
    </row>
    <row r="12" spans="1:3" x14ac:dyDescent="0.25">
      <c r="A12" s="2" t="s">
        <v>199</v>
      </c>
      <c r="B12" s="2">
        <v>65000</v>
      </c>
      <c r="C12" s="2" t="s">
        <v>200</v>
      </c>
    </row>
    <row r="13" spans="1:3" x14ac:dyDescent="0.25">
      <c r="A13" s="2" t="s">
        <v>201</v>
      </c>
      <c r="B13" s="3">
        <f>SUM(B11:B12)</f>
      </c>
      <c r="C13" s="6" t="s">
        <v>50</v>
      </c>
    </row>
  </sheetData>
  <sheetProtection sheet="1" formatColumns="0" formatRows="0" sort="0" autoFilter="0" algorithmName="SHA-512" hashValue="xArM7RsYBxBRsCcunABzCxModGihECfX/DrSz/HeXY1FOWqsEi+huH4EwzF+ipYA+QZXiukvSV3n1dU4aJUGtg==" saltValue="oRBvPVp0f+DsrwDNRBOeSA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5" customWidth="1"/>
    <col min="3" max="3" width="25" customWidth="1"/>
  </cols>
  <sheetData>
    <row r="1" ht="24" customHeight="1" spans="1:3" x14ac:dyDescent="0.25">
      <c r="A1" s="9" t="s">
        <v>202</v>
      </c>
      <c r="B1" s="9" t="s">
        <v>203</v>
      </c>
      <c r="C1" s="9" t="s">
        <v>204</v>
      </c>
    </row>
    <row r="2" spans="1:3" x14ac:dyDescent="0.25">
      <c r="A2" s="2" t="s">
        <v>205</v>
      </c>
      <c r="B2" s="2" t="s">
        <v>206</v>
      </c>
      <c r="C2" s="2" t="s">
        <v>207</v>
      </c>
    </row>
    <row r="3" spans="1:3" x14ac:dyDescent="0.25">
      <c r="A3" s="2" t="s">
        <v>208</v>
      </c>
      <c r="B3" s="2" t="s">
        <v>209</v>
      </c>
      <c r="C3" s="2" t="s">
        <v>210</v>
      </c>
    </row>
    <row r="4" spans="1:3" x14ac:dyDescent="0.25">
      <c r="A4" s="2" t="s">
        <v>211</v>
      </c>
      <c r="B4" s="2" t="s">
        <v>212</v>
      </c>
      <c r="C4" s="2" t="s">
        <v>213</v>
      </c>
    </row>
  </sheetData>
  <sheetProtection sheet="1" formatColumns="0" formatRows="0" sort="0" autoFilter="0" algorithmName="SHA-512" hashValue="7jw4jqT3DF+inH0u7JPVvVq+DF15srpIzHdexu9OAbssKmVNqRFYnfjR5E1jh9fVdpAbMdwINvKY1jKMIliiBg==" saltValue="hZXp0vlz18Dn02RyVOTsPQ==" spinCount="100000"/>
  <autoFilter ref="A1:C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24" customWidth="1"/>
    <col min="3" max="3" width="14" customWidth="1"/>
    <col min="4" max="4" width="42" customWidth="1"/>
    <col min="5" max="5" width="26" customWidth="1"/>
    <col min="12" max="12" width="28" customWidth="1"/>
    <col min="13" max="13" width="56" customWidth="1"/>
  </cols>
  <sheetData>
    <row r="1" ht="24" customHeight="1" spans="1:13" x14ac:dyDescent="0.25">
      <c r="A1" s="9" t="s">
        <v>214</v>
      </c>
      <c r="B1" s="9" t="s">
        <v>215</v>
      </c>
      <c r="C1" s="9" t="s">
        <v>216</v>
      </c>
      <c r="D1" s="9" t="s">
        <v>217</v>
      </c>
      <c r="E1" s="9" t="s">
        <v>105</v>
      </c>
      <c r="L1" s="9" t="s">
        <v>74</v>
      </c>
      <c r="M1" s="9" t="s">
        <v>218</v>
      </c>
    </row>
    <row r="2" spans="1:13" x14ac:dyDescent="0.25">
      <c r="A2" s="2" t="s">
        <v>219</v>
      </c>
      <c r="B2" s="3">
        <f>'05_Seating'!B3</f>
      </c>
      <c r="C2" s="2" t="s">
        <v>220</v>
      </c>
      <c r="D2" s="2" t="s">
        <v>221</v>
      </c>
      <c r="E2" s="3">
        <f>IF(B2&gt;0,"פעיל","תקין")</f>
      </c>
      <c r="L2" s="10" t="s">
        <v>222</v>
      </c>
      <c r="M2" s="8" t="s">
        <v>222</v>
      </c>
    </row>
    <row r="3" spans="1:5" x14ac:dyDescent="0.25">
      <c r="A3" s="2" t="s">
        <v>223</v>
      </c>
      <c r="B3" s="3">
        <f>'05_Seating'!B8</f>
      </c>
      <c r="C3" s="2" t="s">
        <v>220</v>
      </c>
      <c r="D3" s="2" t="s">
        <v>224</v>
      </c>
      <c r="E3" s="3">
        <f>IF(B3&gt;0,"פעיל","תקין")</f>
      </c>
    </row>
    <row r="4" spans="1:5" x14ac:dyDescent="0.25">
      <c r="A4" s="2" t="s">
        <v>225</v>
      </c>
      <c r="B4" s="3">
        <f>'07_Suppliers'!B3</f>
      </c>
      <c r="C4" s="2" t="s">
        <v>226</v>
      </c>
      <c r="D4" s="2" t="s">
        <v>227</v>
      </c>
      <c r="E4" s="3">
        <f>IF(B4&gt;0,"פעיל","תקין")</f>
      </c>
    </row>
    <row r="5" spans="1:5" x14ac:dyDescent="0.25">
      <c r="A5" s="4" t="s">
        <v>228</v>
      </c>
      <c r="B5" s="5">
        <f>'07_Suppliers'!B4</f>
      </c>
      <c r="C5" s="4" t="s">
        <v>226</v>
      </c>
      <c r="D5" s="4" t="s">
        <v>229</v>
      </c>
      <c r="E5" s="5">
        <f>IF(B5&gt;0,"פעיל","תקין")</f>
      </c>
    </row>
    <row r="6" spans="1:5" x14ac:dyDescent="0.25">
      <c r="A6" s="2" t="s">
        <v>164</v>
      </c>
      <c r="B6" s="3">
        <f>'07_Suppliers'!B5</f>
      </c>
      <c r="C6" s="2" t="s">
        <v>226</v>
      </c>
      <c r="D6" s="2" t="s">
        <v>230</v>
      </c>
      <c r="E6" s="3">
        <f>IF(B6&gt;0,"פעיל","תקין")</f>
      </c>
    </row>
    <row r="7" spans="1:5" x14ac:dyDescent="0.25">
      <c r="A7" s="2" t="s">
        <v>231</v>
      </c>
      <c r="B7" s="3">
        <f>'01_סיכום_האירוע'!B8</f>
      </c>
      <c r="C7" s="2" t="s">
        <v>220</v>
      </c>
      <c r="D7" s="2" t="s">
        <v>232</v>
      </c>
      <c r="E7" s="3">
        <f>IF(B7&gt;0,"פעיל","תקין")</f>
      </c>
    </row>
    <row r="8" spans="1:5" x14ac:dyDescent="0.25">
      <c r="A8" s="4" t="s">
        <v>233</v>
      </c>
      <c r="B8" s="5">
        <f>'08_Budget'!B7</f>
      </c>
      <c r="C8" s="4" t="s">
        <v>226</v>
      </c>
      <c r="D8" s="4" t="s">
        <v>234</v>
      </c>
      <c r="E8" s="5">
        <f>IF(B8&gt;1,"פעיל","תקין")</f>
      </c>
    </row>
    <row r="9" spans="1:5" x14ac:dyDescent="0.25">
      <c r="A9" s="2" t="s">
        <v>235</v>
      </c>
      <c r="B9" s="2">
        <v>1</v>
      </c>
      <c r="C9" s="2" t="s">
        <v>220</v>
      </c>
      <c r="D9" s="2" t="s">
        <v>236</v>
      </c>
      <c r="E9" s="2" t="s">
        <v>237</v>
      </c>
    </row>
    <row r="10" spans="1:5" x14ac:dyDescent="0.25">
      <c r="A10" s="2" t="s">
        <v>238</v>
      </c>
      <c r="B10" s="2">
        <v>1</v>
      </c>
      <c r="C10" s="2" t="s">
        <v>239</v>
      </c>
      <c r="D10" s="2" t="s">
        <v>240</v>
      </c>
      <c r="E10" s="2" t="s">
        <v>237</v>
      </c>
    </row>
    <row r="11" spans="1:5" x14ac:dyDescent="0.25">
      <c r="A11" s="2" t="s">
        <v>238</v>
      </c>
      <c r="B11" s="2">
        <v>1</v>
      </c>
      <c r="C11" s="2" t="s">
        <v>239</v>
      </c>
      <c r="D11" s="2" t="s">
        <v>241</v>
      </c>
      <c r="E11" s="2" t="s">
        <v>237</v>
      </c>
    </row>
    <row r="12" spans="1:5" x14ac:dyDescent="0.25">
      <c r="A12" s="2" t="s">
        <v>238</v>
      </c>
      <c r="B12" s="2">
        <v>1</v>
      </c>
      <c r="C12" s="2" t="s">
        <v>239</v>
      </c>
      <c r="D12" s="2" t="s">
        <v>242</v>
      </c>
      <c r="E12" s="2" t="s">
        <v>237</v>
      </c>
    </row>
    <row r="13" spans="1:5" x14ac:dyDescent="0.25">
      <c r="A13" s="2" t="s">
        <v>238</v>
      </c>
      <c r="B13" s="2">
        <v>1</v>
      </c>
      <c r="C13" s="2" t="s">
        <v>239</v>
      </c>
      <c r="D13" s="2" t="s">
        <v>243</v>
      </c>
      <c r="E13" s="2" t="s">
        <v>237</v>
      </c>
    </row>
    <row r="14" spans="1:5" x14ac:dyDescent="0.25">
      <c r="A14" s="2" t="s">
        <v>238</v>
      </c>
      <c r="B14" s="2">
        <v>1</v>
      </c>
      <c r="C14" s="2" t="s">
        <v>239</v>
      </c>
      <c r="D14" s="2" t="s">
        <v>244</v>
      </c>
      <c r="E14" s="2" t="s">
        <v>237</v>
      </c>
    </row>
    <row r="15" spans="1:5" x14ac:dyDescent="0.25">
      <c r="A15" s="2" t="s">
        <v>238</v>
      </c>
      <c r="B15" s="2">
        <v>1</v>
      </c>
      <c r="C15" s="2" t="s">
        <v>239</v>
      </c>
      <c r="D15" s="2" t="s">
        <v>245</v>
      </c>
      <c r="E15" s="2" t="s">
        <v>237</v>
      </c>
    </row>
    <row r="16" spans="1:5" x14ac:dyDescent="0.25">
      <c r="A16" s="2" t="s">
        <v>238</v>
      </c>
      <c r="B16" s="2">
        <v>1</v>
      </c>
      <c r="C16" s="2" t="s">
        <v>239</v>
      </c>
      <c r="D16" s="2" t="s">
        <v>246</v>
      </c>
      <c r="E16" s="2" t="s">
        <v>237</v>
      </c>
    </row>
  </sheetData>
  <sheetProtection sheet="1" formatColumns="0" formatRows="0" sort="0" autoFilter="0" algorithmName="SHA-512" hashValue="cec0Z+D+llUUwqw6RFmUf/wx7Kw9yiuPnAYnQWj/qJ7S9KXVpEe7w7XoUZzuDo9aAOiF/y3ntXzGDdcpTOB4+Q==" saltValue="iYsp9dxZBuz+RYpfICerUA==" spinCount="100000"/>
  <autoFilter ref="A1:E1"/>
  <hyperlinks>
    <hyperlink ref="M2" r:id="rId1"/>
  </hyperlinks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rightToLeft="1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4" customWidth="1"/>
  </cols>
  <sheetData>
    <row r="1" ht="28" customHeight="1" spans="1:2" x14ac:dyDescent="0.25">
      <c r="A1" s="9" t="s">
        <v>247</v>
      </c>
      <c r="B1" s="9" t="s">
        <v>1</v>
      </c>
    </row>
    <row r="2" ht="28" customHeight="1" spans="1:2" x14ac:dyDescent="0.25">
      <c r="A2" s="2" t="s">
        <v>57</v>
      </c>
      <c r="B2" s="3">
        <f>"סה״כ "&amp;'01_סיכום_האירוע'!B6&amp;" אורחים; "&amp;'01_סיכום_האירוע'!B7&amp;" מאשרים; "&amp;'01_סיכום_האירוע'!B8&amp;" ממתינים"</f>
      </c>
    </row>
    <row r="3" ht="28" customHeight="1" spans="1:2" x14ac:dyDescent="0.25">
      <c r="A3" s="2" t="s">
        <v>41</v>
      </c>
      <c r="B3" s="3">
        <f>"סה״כ ספקים: "&amp;'01_סיכום_האירוע'!B18&amp;"; יתרה לתשלום: "&amp;TEXT('07_Suppliers'!B8,"₪#,##0")</f>
      </c>
    </row>
    <row r="4" ht="28" customHeight="1" spans="1:2" x14ac:dyDescent="0.25">
      <c r="A4" s="4" t="s">
        <v>248</v>
      </c>
      <c r="B4" s="5">
        <f>"תקציב כולל: "&amp;TEXT('08_Budget'!B2,"₪#,##0")&amp;"; עלות לאורח: "&amp;TEXT('08_Budget'!B4,"₪#,##0")</f>
      </c>
    </row>
    <row r="5" ht="28" customHeight="1" spans="1:2" x14ac:dyDescent="0.25">
      <c r="A5" s="2" t="s">
        <v>59</v>
      </c>
      <c r="B5" s="3">
        <f>"תפוסת הושבה: "&amp;TEXT('05_Seating'!B6,"0%")&amp;"; ללא שולחן: "&amp;'05_Seating'!B3</f>
      </c>
    </row>
    <row r="6" ht="28" customHeight="1" spans="1:2" x14ac:dyDescent="0.25">
      <c r="A6" s="2" t="s">
        <v>62</v>
      </c>
      <c r="B6" s="3">
        <f>"נושאים לטיפול: "&amp;'01_סיכום_האירוע'!B23</f>
      </c>
    </row>
    <row r="7" ht="28" customHeight="1" spans="1:2" x14ac:dyDescent="0.25">
      <c r="A7" s="2" t="s">
        <v>152</v>
      </c>
      <c r="B7" s="2" t="s">
        <v>153</v>
      </c>
    </row>
    <row r="8" ht="28" customHeight="1" spans="1:2" x14ac:dyDescent="0.25">
      <c r="A8" s="2" t="s">
        <v>249</v>
      </c>
      <c r="B8" s="2" t="s">
        <v>250</v>
      </c>
    </row>
  </sheetData>
  <sheetProtection sheet="1" formatColumns="0" formatRows="0" sort="0" autoFilter="0" algorithmName="SHA-512" hashValue="ercnYehRFTlpcYklH1FGXgrtMPQDlDgh7eqhBrqsyOMnh1yZuxH45o1PDwO7vjMf7FQO/j8qWbklVPQgg9TnGg==" saltValue="3/TU10IoudS67qxyud9F8w==" spinCount="100000"/>
  <autoFilter ref="A1:B1"/>
  <printOptions horizontalCentered="1"/>
  <pageMargins left="0.25" right="0.25" top="0.5" bottom="0.5" header="0.2" footer="0.2"/>
  <pageSetup orientation="portrait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 showGridLines="0"/>
  </sheetViews>
  <sheetFormatPr defaultRowHeight="15" outlineLevelRow="0" outlineLevelCol="0" x14ac:dyDescent="55"/>
  <cols>
    <col min="1" max="1" width="24" customWidth="1"/>
    <col min="2" max="2" width="60" customWidth="1"/>
  </cols>
  <sheetData>
    <row r="1" ht="24" customHeight="1" spans="1:2" x14ac:dyDescent="0.25">
      <c r="A1" s="9" t="s">
        <v>251</v>
      </c>
      <c r="B1" s="9" t="s">
        <v>1</v>
      </c>
    </row>
    <row r="2" spans="1:2" x14ac:dyDescent="0.25">
      <c r="A2" s="2" t="s">
        <v>252</v>
      </c>
      <c r="B2" s="2" t="s">
        <v>253</v>
      </c>
    </row>
    <row r="3" spans="1:2" x14ac:dyDescent="0.25">
      <c r="A3" s="2" t="s">
        <v>254</v>
      </c>
      <c r="B3" s="2" t="s">
        <v>4</v>
      </c>
    </row>
    <row r="4" spans="1:2" x14ac:dyDescent="0.25">
      <c r="A4" s="2" t="s">
        <v>255</v>
      </c>
      <c r="B4" s="2" t="s">
        <v>256</v>
      </c>
    </row>
    <row r="5" spans="1:2" x14ac:dyDescent="0.25">
      <c r="A5" s="2" t="s">
        <v>257</v>
      </c>
      <c r="B5" s="2" t="s">
        <v>258</v>
      </c>
    </row>
    <row r="6" spans="1:2" x14ac:dyDescent="0.25">
      <c r="A6" s="2" t="s">
        <v>259</v>
      </c>
      <c r="B6" s="2" t="s">
        <v>260</v>
      </c>
    </row>
  </sheetData>
  <sheetProtection sheet="1" formatColumns="0" formatRows="0" sort="0" autoFilter="0" algorithmName="SHA-512" hashValue="FiJQgvaA5moqfVRKsb37jnk7AIwVNTX9gzZZTgADWt29qlfVsj2nLioiVmjeGKNDmRp74IUfA0dmVM+bQBxk7g==" saltValue="eWKnpiRQX/qPCXr+fgqJ2A==" spinCount="100000"/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01_סיכום_האירוע</vt:lpstr>
      <vt:lpstr>02_Guest_Database</vt:lpstr>
      <vt:lpstr>03_RSVP_Status</vt:lpstr>
      <vt:lpstr>04_Categories</vt:lpstr>
      <vt:lpstr>05_Seating</vt:lpstr>
      <vt:lpstr>06_Venue</vt:lpstr>
      <vt:lpstr>07_Suppliers</vt:lpstr>
      <vt:lpstr>08_Budget</vt:lpstr>
      <vt:lpstr>09_Change_Impact</vt:lpstr>
      <vt:lpstr>10_Risks</vt:lpstr>
      <vt:lpstr>11_Final_Brief</vt:lpstr>
      <vt:lpstr>_EventSheet_Metadata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EventSheet AI</dc:creator>
  <dc:title/>
  <dc:subject/>
  <dc:description/>
  <cp:keywords/>
  <cp:category/>
  <cp:lastModifiedBy>Unknown</cp:lastModifiedBy>
  <dcterms:created xsi:type="dcterms:W3CDTF">2026-06-09T15:39:53Z</dcterms:created>
  <dcterms:modified xsi:type="dcterms:W3CDTF">2026-06-09T15:39:53Z</dcterms:modified>
</cp:coreProperties>
</file>