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Command_Center" state="visible" r:id="rId4"/>
    <sheet sheetId="2" name="02_Guest_Database" state="visible" r:id="rId5"/>
    <sheet sheetId="3" name="03_RSVP_Status" state="visible" r:id="rId6"/>
    <sheet sheetId="4" name="04_Categories" state="visible" r:id="rId7"/>
    <sheet sheetId="5" name="05_Seating" state="visible" r:id="rId8"/>
    <sheet sheetId="6" name="06_Venue" state="visible" r:id="rId9"/>
    <sheet sheetId="7" name="07_Suppliers" state="visible" r:id="rId10"/>
    <sheet sheetId="8" name="08_Budget" state="visible" r:id="rId11"/>
    <sheet sheetId="9" name="09_Change_Impact" state="visible" r:id="rId12"/>
    <sheet sheetId="10" name="10_Risks" state="visible" r:id="rId13"/>
    <sheet sheetId="11" name="11_Final_Brief" state="visible" r:id="rId14"/>
  </sheets>
  <calcPr calcId="171027"/>
</workbook>
</file>

<file path=xl/sharedStrings.xml><?xml version="1.0" encoding="utf-8"?>
<sst xmlns="http://schemas.openxmlformats.org/spreadsheetml/2006/main" count="184" uniqueCount="122">
  <si>
    <t>מדד</t>
  </si>
  <si>
    <t>ערך</t>
  </si>
  <si>
    <t>שם האירוע</t>
  </si>
  <si>
    <t>חתונת דמו נעילה</t>
  </si>
  <si>
    <t>תאריך</t>
  </si>
  <si>
    <t>2026-07-18</t>
  </si>
  <si>
    <t>מקום</t>
  </si>
  <si>
    <t>גן עדן אירועים</t>
  </si>
  <si>
    <t>כמות אורחים משוערת</t>
  </si>
  <si>
    <t>אורחים שזוהו</t>
  </si>
  <si>
    <t>מאשרי הגעה</t>
  </si>
  <si>
    <t>טרם השיבו</t>
  </si>
  <si>
    <t>לא מגיעים</t>
  </si>
  <si>
    <t>ספקים שזוהו</t>
  </si>
  <si>
    <t>תקציב כולל מזוהה</t>
  </si>
  <si>
    <t>סיכונים פתוחים</t>
  </si>
  <si>
    <t>הערה</t>
  </si>
  <si>
    <t>Excel הוא מקור האמת לאחר ההפקה</t>
  </si>
  <si>
    <t>מזהה</t>
  </si>
  <si>
    <t>שם אורח</t>
  </si>
  <si>
    <t>סטטוס הגעה</t>
  </si>
  <si>
    <t>קטגוריה</t>
  </si>
  <si>
    <t>תזונה</t>
  </si>
  <si>
    <t>שולחן</t>
  </si>
  <si>
    <t>הערות</t>
  </si>
  <si>
    <t>G-0001</t>
  </si>
  <si>
    <t>מולר</t>
  </si>
  <si>
    <t>טרם השיב</t>
  </si>
  <si>
    <t>חבר גרעין</t>
  </si>
  <si>
    <t>ללא</t>
  </si>
  <si>
    <t/>
  </si>
  <si>
    <t>G-0002</t>
  </si>
  <si>
    <t>מידן</t>
  </si>
  <si>
    <t>G-0003</t>
  </si>
  <si>
    <t>תואם</t>
  </si>
  <si>
    <t>חבר גרעין, לימודים</t>
  </si>
  <si>
    <t>קבוצות: חבר גרעין, לימודים</t>
  </si>
  <si>
    <t>G-0004</t>
  </si>
  <si>
    <t>זוהר</t>
  </si>
  <si>
    <t>לימודים</t>
  </si>
  <si>
    <t>G-0005</t>
  </si>
  <si>
    <t>פלג</t>
  </si>
  <si>
    <t>G-0006</t>
  </si>
  <si>
    <t>נועה כהן</t>
  </si>
  <si>
    <t>מאשר הגעה</t>
  </si>
  <si>
    <t>משפחה</t>
  </si>
  <si>
    <t>טבעוני</t>
  </si>
  <si>
    <t>G-0007</t>
  </si>
  <si>
    <t>דניאל לוי</t>
  </si>
  <si>
    <t>עבודה</t>
  </si>
  <si>
    <t>G-0008</t>
  </si>
  <si>
    <t>אורח בדיקה</t>
  </si>
  <si>
    <t>צד: צד הכלה | נוסף ידנית</t>
  </si>
  <si>
    <t>סטטוס</t>
  </si>
  <si>
    <t>כמות</t>
  </si>
  <si>
    <t>לא מגיע</t>
  </si>
  <si>
    <t>הערת MVP</t>
  </si>
  <si>
    <t>אין שליחת RSVP. זהו סיכום לצורך אקסל בלבד.</t>
  </si>
  <si>
    <t>כמות אורחים</t>
  </si>
  <si>
    <t>כינוי</t>
  </si>
  <si>
    <t>קיבולת</t>
  </si>
  <si>
    <t>אורחים שהושבו</t>
  </si>
  <si>
    <t>מקומות פנויים</t>
  </si>
  <si>
    <t>שולחן 1</t>
  </si>
  <si>
    <t>הוקם לפי אורחים שזוהו</t>
  </si>
  <si>
    <t>שולחן 2</t>
  </si>
  <si>
    <t>שולחן 4</t>
  </si>
  <si>
    <t>נוסף ידנית</t>
  </si>
  <si>
    <t>המלצות הושבה</t>
  </si>
  <si>
    <t>המלצה בלבד</t>
  </si>
  <si>
    <t>מומלץ לשקול להושיב את מולר, מידן, תואם, אורח בדיקה, זוהר, פלג באזור קרוב או באותו שולחן, כי תואם מחבר/ת בין קבוצת חבר גרעין לקבוצת לימודים. החלטה סופית של מנהל האירוע.</t>
  </si>
  <si>
    <t>נתון אולם</t>
  </si>
  <si>
    <t>מקום האירוע</t>
  </si>
  <si>
    <t>מספר שולחנות</t>
  </si>
  <si>
    <t>ניהול אילוצי האולם נעשה באקסל לאחר ההפקה</t>
  </si>
  <si>
    <t>תחום</t>
  </si>
  <si>
    <t>שם ספק</t>
  </si>
  <si>
    <t>עלות חוזה</t>
  </si>
  <si>
    <t>שולם</t>
  </si>
  <si>
    <t>יתרה</t>
  </si>
  <si>
    <t>קייטרינג ובר</t>
  </si>
  <si>
    <t>קייטרינג טעם טוב מקדמה</t>
  </si>
  <si>
    <t>יתרה להסדרה</t>
  </si>
  <si>
    <t>דיג'יי/להקות</t>
  </si>
  <si>
    <t>DJ אלון</t>
  </si>
  <si>
    <t>סעיף</t>
  </si>
  <si>
    <t>סכום</t>
  </si>
  <si>
    <t>זוהה משורת ספק</t>
  </si>
  <si>
    <t>אולם</t>
  </si>
  <si>
    <t>זוהה מטקסט חופשי</t>
  </si>
  <si>
    <t>בר</t>
  </si>
  <si>
    <t>סה"כ</t>
  </si>
  <si>
    <t>שינוי</t>
  </si>
  <si>
    <t>השפעה</t>
  </si>
  <si>
    <t>החלטת מנהל</t>
  </si>
  <si>
    <t>שינוי כמות אורחים</t>
  </si>
  <si>
    <t>משפיע על קייטרינג, הושבה ותקציב</t>
  </si>
  <si>
    <t>לעדכון ידני באקסל</t>
  </si>
  <si>
    <t>שינוי ספק</t>
  </si>
  <si>
    <t>משפיע על תקציב ולוחות זמנים</t>
  </si>
  <si>
    <t>אישור מנהל אירוע</t>
  </si>
  <si>
    <t>סיכון חדש</t>
  </si>
  <si>
    <t>משפיע על בריף וניהול שטח</t>
  </si>
  <si>
    <t>תיעוד בגיליון סיכונים</t>
  </si>
  <si>
    <t>סיכון</t>
  </si>
  <si>
    <t>חומרה</t>
  </si>
  <si>
    <t>אחראי</t>
  </si>
  <si>
    <t>פעולה</t>
  </si>
  <si>
    <t>אלרגיה חמורה לאגוזים אצל אורח VIP</t>
  </si>
  <si>
    <t>גבוהה</t>
  </si>
  <si>
    <t>מנהל מטבח</t>
  </si>
  <si>
    <t>בדיקה ואישור ידני לפני הפקת האירוע</t>
  </si>
  <si>
    <t>חסרים 12 אישורי הגעה</t>
  </si>
  <si>
    <t>מנהל אירוע</t>
  </si>
  <si>
    <t>המלצת הושבה לבדיקה</t>
  </si>
  <si>
    <t>נמוכה</t>
  </si>
  <si>
    <t>בריף סופי</t>
  </si>
  <si>
    <t>בריף תפעולי עבור חתונת דמו נעילה</t>
  </si>
  <si>
    <t>מקום: גן עדן אירועים | תאריך: 2026-07-18</t>
  </si>
  <si>
    <t>זוהו 7 אורחים, 2 ספקים ו-2 סיכונים.</t>
  </si>
  <si>
    <t>המלצות הושבה לבדיקה:</t>
  </si>
  <si>
    <t>- מומלץ לשקול להושיב את מולר, מידן, תואם, אורח בדיקה, זוהר, פלג באזור קרוב או באותו שולחן, כי תואם מחבר/ת בין קבוצת חבר גרעין לקבוצת לימודים. החלטה סופית של מנהל האירוע.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</si>
</sst>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2">
    <border>
      <left/>
      <right/>
      <top/>
      <bottom/>
      <diagonal/>
    </border>
    <border>
      <left style="thin">
        <color rgb="FFD9E1E5"/>
      </left>
      <right style="thin">
        <color rgb="FFD9E1E5"/>
      </right>
      <top style="thin">
        <color rgb="FFD9E1E5"/>
      </top>
      <bottom style="thin">
        <color rgb="FFD9E1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right" vertical="top" wrapText="1" readingOrder="2"/>
    </xf>
    <xf numFmtId="0" fontId="0" fillId="0" borderId="1" xfId="0" applyBorder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>
        <v>250</v>
      </c>
    </row>
    <row r="6" spans="1:2" x14ac:dyDescent="0.25">
      <c r="A6" s="2" t="s">
        <v>9</v>
      </c>
      <c r="B6" s="2">
        <f>COUNTIF('02_Guest_Database'!A:A,"G-*")</f>
      </c>
    </row>
    <row r="7" spans="1:2" x14ac:dyDescent="0.25">
      <c r="A7" s="2" t="s">
        <v>10</v>
      </c>
      <c r="B7" s="2">
        <f>COUNTIF('02_Guest_Database'!C:C,"מאשר הגעה")</f>
      </c>
    </row>
    <row r="8" spans="1:2" x14ac:dyDescent="0.25">
      <c r="A8" s="2" t="s">
        <v>11</v>
      </c>
      <c r="B8" s="2">
        <f>COUNTIF('02_Guest_Database'!C:C,"טרם השיב")</f>
      </c>
    </row>
    <row r="9" spans="1:2" x14ac:dyDescent="0.25">
      <c r="A9" s="2" t="s">
        <v>12</v>
      </c>
      <c r="B9" s="2">
        <f>COUNTIF('02_Guest_Database'!C:C,"לא מגיע")</f>
      </c>
    </row>
    <row r="10" spans="1:2" x14ac:dyDescent="0.25">
      <c r="A10" s="2" t="s">
        <v>13</v>
      </c>
      <c r="B10" s="2">
        <f>COUNTA('07_Suppliers'!B2:B999)</f>
      </c>
    </row>
    <row r="11" spans="1:2" x14ac:dyDescent="0.25">
      <c r="A11" s="2" t="s">
        <v>14</v>
      </c>
      <c r="B11" s="2">
        <f>SUM('08_Budget'!B2:B999)</f>
      </c>
    </row>
    <row r="12" spans="1:2" x14ac:dyDescent="0.25">
      <c r="A12" s="2" t="s">
        <v>15</v>
      </c>
      <c r="B12" s="2">
        <f>COUNTA('10_Risks'!A2:A999)</f>
      </c>
    </row>
    <row r="13" spans="1:2" x14ac:dyDescent="0.25">
      <c r="A13" s="2" t="s">
        <v>16</v>
      </c>
      <c r="B13" s="2" t="s">
        <v>17</v>
      </c>
    </row>
  </sheetData>
  <autoFilter ref="A1:B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2" customWidth="1"/>
    <col min="5" max="6" width="14" customWidth="1"/>
    <col min="7" max="7" width="30" customWidth="1"/>
  </cols>
  <sheetData>
    <row r="1" ht="24" customHeight="1" spans="1:7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30</v>
      </c>
    </row>
    <row r="3" spans="1:7" x14ac:dyDescent="0.25">
      <c r="A3" s="2" t="s">
        <v>31</v>
      </c>
      <c r="B3" s="2" t="s">
        <v>32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30</v>
      </c>
    </row>
    <row r="4" spans="1:7" x14ac:dyDescent="0.25">
      <c r="A4" s="2" t="s">
        <v>33</v>
      </c>
      <c r="B4" s="2" t="s">
        <v>34</v>
      </c>
      <c r="C4" s="2" t="s">
        <v>27</v>
      </c>
      <c r="D4" s="2" t="s">
        <v>35</v>
      </c>
      <c r="E4" s="2" t="s">
        <v>29</v>
      </c>
      <c r="F4" s="2" t="s">
        <v>30</v>
      </c>
      <c r="G4" s="2" t="s">
        <v>36</v>
      </c>
    </row>
    <row r="5" spans="1:7" x14ac:dyDescent="0.25">
      <c r="A5" s="2" t="s">
        <v>37</v>
      </c>
      <c r="B5" s="2" t="s">
        <v>38</v>
      </c>
      <c r="C5" s="2" t="s">
        <v>27</v>
      </c>
      <c r="D5" s="2" t="s">
        <v>39</v>
      </c>
      <c r="E5" s="2" t="s">
        <v>29</v>
      </c>
      <c r="F5" s="2" t="s">
        <v>30</v>
      </c>
      <c r="G5" s="2" t="s">
        <v>30</v>
      </c>
    </row>
    <row r="6" spans="1:7" x14ac:dyDescent="0.25">
      <c r="A6" s="2" t="s">
        <v>40</v>
      </c>
      <c r="B6" s="2" t="s">
        <v>41</v>
      </c>
      <c r="C6" s="2" t="s">
        <v>27</v>
      </c>
      <c r="D6" s="2" t="s">
        <v>39</v>
      </c>
      <c r="E6" s="2" t="s">
        <v>29</v>
      </c>
      <c r="F6" s="2" t="s">
        <v>30</v>
      </c>
      <c r="G6" s="2" t="s">
        <v>30</v>
      </c>
    </row>
    <row r="7" spans="1:7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1</v>
      </c>
      <c r="G7" s="2" t="s">
        <v>30</v>
      </c>
    </row>
    <row r="8" spans="1:7" x14ac:dyDescent="0.25">
      <c r="A8" s="2" t="s">
        <v>47</v>
      </c>
      <c r="B8" s="2" t="s">
        <v>48</v>
      </c>
      <c r="C8" s="2" t="s">
        <v>27</v>
      </c>
      <c r="D8" s="2" t="s">
        <v>49</v>
      </c>
      <c r="E8" s="2" t="s">
        <v>29</v>
      </c>
      <c r="F8" s="2">
        <v>2</v>
      </c>
      <c r="G8" s="2" t="s">
        <v>30</v>
      </c>
    </row>
    <row r="9" spans="1:7" x14ac:dyDescent="0.25">
      <c r="A9" s="2" t="s">
        <v>50</v>
      </c>
      <c r="B9" s="2" t="s">
        <v>51</v>
      </c>
      <c r="C9" s="2" t="s">
        <v>44</v>
      </c>
      <c r="D9" s="2" t="s">
        <v>28</v>
      </c>
      <c r="E9" s="2" t="s">
        <v>29</v>
      </c>
      <c r="F9" s="2">
        <v>4</v>
      </c>
      <c r="G9" s="2" t="s">
        <v>52</v>
      </c>
    </row>
  </sheetData>
  <autoFilter ref="A1:G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</cols>
  <sheetData>
    <row r="1" ht="24" customHeight="1" spans="1:2" x14ac:dyDescent="0.25">
      <c r="A1" s="1" t="s">
        <v>53</v>
      </c>
      <c r="B1" s="1" t="s">
        <v>54</v>
      </c>
    </row>
    <row r="2" spans="1:2" x14ac:dyDescent="0.25">
      <c r="A2" s="2" t="s">
        <v>44</v>
      </c>
      <c r="B2" s="2">
        <f>COUNTIF('02_Guest_Database'!C:C,"מאשר הגעה")</f>
      </c>
    </row>
    <row r="3" spans="1:2" x14ac:dyDescent="0.25">
      <c r="A3" s="2" t="s">
        <v>27</v>
      </c>
      <c r="B3" s="2">
        <f>COUNTIF('02_Guest_Database'!C:C,"טרם השיב")</f>
      </c>
    </row>
    <row r="4" spans="1:2" x14ac:dyDescent="0.25">
      <c r="A4" s="2" t="s">
        <v>55</v>
      </c>
      <c r="B4" s="2">
        <f>COUNTIF('02_Guest_Database'!C:C,"לא מגיע")</f>
      </c>
    </row>
    <row r="5" spans="1:2" x14ac:dyDescent="0.25">
      <c r="A5" s="2" t="s">
        <v>56</v>
      </c>
      <c r="B5" s="2" t="s">
        <v>57</v>
      </c>
    </row>
  </sheetData>
  <autoFilter ref="A1:B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</cols>
  <sheetData>
    <row r="1" ht="24" customHeight="1" spans="1:2" x14ac:dyDescent="0.25">
      <c r="A1" s="1" t="s">
        <v>21</v>
      </c>
      <c r="B1" s="1" t="s">
        <v>58</v>
      </c>
    </row>
    <row r="2" spans="1:2" x14ac:dyDescent="0.25">
      <c r="A2" s="2" t="s">
        <v>28</v>
      </c>
      <c r="B2" s="2">
        <v>4</v>
      </c>
    </row>
    <row r="3" spans="1:2" x14ac:dyDescent="0.25">
      <c r="A3" s="2" t="s">
        <v>39</v>
      </c>
      <c r="B3" s="2">
        <v>3</v>
      </c>
    </row>
    <row r="4" spans="1:2" x14ac:dyDescent="0.25">
      <c r="A4" s="2" t="s">
        <v>45</v>
      </c>
      <c r="B4" s="2">
        <v>1</v>
      </c>
    </row>
    <row r="5" spans="1:2" x14ac:dyDescent="0.25">
      <c r="A5" s="2" t="s">
        <v>49</v>
      </c>
      <c r="B5" s="2">
        <v>1</v>
      </c>
    </row>
  </sheetData>
  <autoFilter ref="A1:B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6" width="17" customWidth="1"/>
    <col min="7" max="7" width="38" customWidth="1"/>
  </cols>
  <sheetData>
    <row r="1" ht="24" customHeight="1" spans="1:7" x14ac:dyDescent="0.25">
      <c r="A1" s="1" t="s">
        <v>23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53</v>
      </c>
      <c r="G1" s="1" t="s">
        <v>24</v>
      </c>
    </row>
    <row r="2" spans="1:7" x14ac:dyDescent="0.25">
      <c r="A2" s="2">
        <v>1</v>
      </c>
      <c r="B2" s="2" t="s">
        <v>63</v>
      </c>
      <c r="C2" s="2">
        <v>10</v>
      </c>
      <c r="D2" s="2">
        <v>1</v>
      </c>
      <c r="E2" s="2">
        <v>9</v>
      </c>
      <c r="F2" s="2" t="s">
        <v>62</v>
      </c>
      <c r="G2" s="2" t="s">
        <v>64</v>
      </c>
    </row>
    <row r="3" spans="1:7" x14ac:dyDescent="0.25">
      <c r="A3" s="2">
        <v>2</v>
      </c>
      <c r="B3" s="2" t="s">
        <v>65</v>
      </c>
      <c r="C3" s="2">
        <v>10</v>
      </c>
      <c r="D3" s="2">
        <v>1</v>
      </c>
      <c r="E3" s="2">
        <v>9</v>
      </c>
      <c r="F3" s="2" t="s">
        <v>62</v>
      </c>
      <c r="G3" s="2" t="s">
        <v>64</v>
      </c>
    </row>
    <row r="4" spans="1:7" x14ac:dyDescent="0.25">
      <c r="A4" s="2">
        <v>4</v>
      </c>
      <c r="B4" s="2" t="s">
        <v>66</v>
      </c>
      <c r="C4" s="2">
        <v>10</v>
      </c>
      <c r="D4" s="2">
        <v>1</v>
      </c>
      <c r="E4" s="2">
        <v>9</v>
      </c>
      <c r="F4" s="2" t="s">
        <v>62</v>
      </c>
      <c r="G4" s="2" t="s">
        <v>67</v>
      </c>
    </row>
    <row r="5" spans="1:7" x14ac:dyDescent="0.25">
      <c r="A5" s="2" t="s">
        <v>30</v>
      </c>
      <c r="B5" s="2" t="s">
        <v>68</v>
      </c>
      <c r="C5" s="2" t="s">
        <v>30</v>
      </c>
      <c r="D5" s="2" t="s">
        <v>30</v>
      </c>
      <c r="E5" s="2" t="s">
        <v>30</v>
      </c>
      <c r="F5" s="2" t="s">
        <v>69</v>
      </c>
      <c r="G5" s="2" t="s">
        <v>70</v>
      </c>
    </row>
  </sheetData>
  <autoFilter ref="A1:G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</cols>
  <sheetData>
    <row r="1" ht="24" customHeight="1" spans="1:2" x14ac:dyDescent="0.25">
      <c r="A1" s="1" t="s">
        <v>71</v>
      </c>
      <c r="B1" s="1" t="s">
        <v>1</v>
      </c>
    </row>
    <row r="2" spans="1:2" x14ac:dyDescent="0.25">
      <c r="A2" s="2" t="s">
        <v>72</v>
      </c>
      <c r="B2" s="2" t="s">
        <v>7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8</v>
      </c>
      <c r="B4" s="2">
        <v>250</v>
      </c>
    </row>
    <row r="5" spans="1:2" x14ac:dyDescent="0.25">
      <c r="A5" s="2" t="s">
        <v>73</v>
      </c>
      <c r="B5" s="2">
        <v>3</v>
      </c>
    </row>
    <row r="6" spans="1:2" x14ac:dyDescent="0.25">
      <c r="A6" s="2" t="s">
        <v>24</v>
      </c>
      <c r="B6" s="2" t="s">
        <v>74</v>
      </c>
    </row>
  </sheetData>
  <autoFilter ref="A1:B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4" width="14" customWidth="1"/>
    <col min="5" max="5" width="16" customWidth="1"/>
    <col min="6" max="6" width="15" customWidth="1"/>
  </cols>
  <sheetData>
    <row r="1" ht="24" customHeight="1" spans="1:6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53</v>
      </c>
    </row>
    <row r="2" spans="1:6" x14ac:dyDescent="0.25">
      <c r="A2" s="2" t="s">
        <v>80</v>
      </c>
      <c r="B2" s="2" t="s">
        <v>81</v>
      </c>
      <c r="C2" s="2">
        <v>42000</v>
      </c>
      <c r="D2" s="2">
        <v>12000</v>
      </c>
      <c r="E2" s="2">
        <f>MAX(0,C2-D2)</f>
      </c>
      <c r="F2" s="2" t="s">
        <v>82</v>
      </c>
    </row>
    <row r="3" spans="1:6" x14ac:dyDescent="0.25">
      <c r="A3" s="2" t="s">
        <v>83</v>
      </c>
      <c r="B3" s="2" t="s">
        <v>84</v>
      </c>
      <c r="C3" s="2">
        <v>8500</v>
      </c>
      <c r="D3" s="2">
        <v>0</v>
      </c>
      <c r="E3" s="2">
        <f>MAX(0,C3-D3)</f>
      </c>
      <c r="F3" s="2" t="s">
        <v>82</v>
      </c>
    </row>
  </sheetData>
  <autoFilter ref="A1:F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</cols>
  <sheetData>
    <row r="1" ht="24" customHeight="1" spans="1:3" x14ac:dyDescent="0.25">
      <c r="A1" s="1" t="s">
        <v>85</v>
      </c>
      <c r="B1" s="1" t="s">
        <v>86</v>
      </c>
      <c r="C1" s="1" t="s">
        <v>24</v>
      </c>
    </row>
    <row r="2" spans="1:3" x14ac:dyDescent="0.25">
      <c r="A2" s="2" t="s">
        <v>80</v>
      </c>
      <c r="B2" s="2">
        <v>42000</v>
      </c>
      <c r="C2" s="2" t="s">
        <v>87</v>
      </c>
    </row>
    <row r="3" spans="1:3" x14ac:dyDescent="0.25">
      <c r="A3" s="2" t="s">
        <v>83</v>
      </c>
      <c r="B3" s="2">
        <v>8500</v>
      </c>
      <c r="C3" s="2" t="s">
        <v>87</v>
      </c>
    </row>
    <row r="4" spans="1:3" x14ac:dyDescent="0.25">
      <c r="A4" s="2" t="s">
        <v>88</v>
      </c>
      <c r="B4" s="2">
        <v>65000</v>
      </c>
      <c r="C4" s="2" t="s">
        <v>89</v>
      </c>
    </row>
    <row r="5" spans="1:3" x14ac:dyDescent="0.25">
      <c r="A5" s="2" t="s">
        <v>90</v>
      </c>
      <c r="B5" s="2">
        <v>18000</v>
      </c>
      <c r="C5" s="2" t="s">
        <v>89</v>
      </c>
    </row>
    <row r="6" spans="1:3" x14ac:dyDescent="0.25">
      <c r="A6" s="2" t="s">
        <v>91</v>
      </c>
      <c r="B6" s="2">
        <f>SUM(B2:B999)</f>
      </c>
      <c r="C6" s="2" t="s">
        <v>30</v>
      </c>
    </row>
  </sheetData>
  <autoFilter ref="A1:C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35" customWidth="1"/>
    <col min="3" max="3" width="25" customWidth="1"/>
  </cols>
  <sheetData>
    <row r="1" ht="24" customHeight="1" spans="1:3" x14ac:dyDescent="0.25">
      <c r="A1" s="1" t="s">
        <v>92</v>
      </c>
      <c r="B1" s="1" t="s">
        <v>93</v>
      </c>
      <c r="C1" s="1" t="s">
        <v>94</v>
      </c>
    </row>
    <row r="2" spans="1:3" x14ac:dyDescent="0.25">
      <c r="A2" s="2" t="s">
        <v>95</v>
      </c>
      <c r="B2" s="2" t="s">
        <v>96</v>
      </c>
      <c r="C2" s="2" t="s">
        <v>97</v>
      </c>
    </row>
    <row r="3" spans="1:3" x14ac:dyDescent="0.25">
      <c r="A3" s="2" t="s">
        <v>98</v>
      </c>
      <c r="B3" s="2" t="s">
        <v>99</v>
      </c>
      <c r="C3" s="2" t="s">
        <v>100</v>
      </c>
    </row>
    <row r="4" spans="1:3" x14ac:dyDescent="0.25">
      <c r="A4" s="2" t="s">
        <v>101</v>
      </c>
      <c r="B4" s="2" t="s">
        <v>102</v>
      </c>
      <c r="C4" s="2" t="s">
        <v>103</v>
      </c>
    </row>
  </sheetData>
  <autoFilter ref="A1:C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3" width="14" customWidth="1"/>
    <col min="4" max="4" width="38" customWidth="1"/>
  </cols>
  <sheetData>
    <row r="1" ht="24" customHeight="1" spans="1:4" x14ac:dyDescent="0.25">
      <c r="A1" s="1" t="s">
        <v>104</v>
      </c>
      <c r="B1" s="1" t="s">
        <v>105</v>
      </c>
      <c r="C1" s="1" t="s">
        <v>106</v>
      </c>
      <c r="D1" s="1" t="s">
        <v>107</v>
      </c>
    </row>
    <row r="2" spans="1:4" x14ac:dyDescent="0.25">
      <c r="A2" s="2" t="s">
        <v>108</v>
      </c>
      <c r="B2" s="2" t="s">
        <v>109</v>
      </c>
      <c r="C2" s="2" t="s">
        <v>110</v>
      </c>
      <c r="D2" s="2" t="s">
        <v>111</v>
      </c>
    </row>
    <row r="3" spans="1:4" x14ac:dyDescent="0.25">
      <c r="A3" s="2" t="s">
        <v>112</v>
      </c>
      <c r="B3" s="2" t="s">
        <v>109</v>
      </c>
      <c r="C3" s="2" t="s">
        <v>113</v>
      </c>
      <c r="D3" s="2" t="s">
        <v>111</v>
      </c>
    </row>
    <row r="4" spans="1:4" x14ac:dyDescent="0.25">
      <c r="A4" s="2" t="s">
        <v>114</v>
      </c>
      <c r="B4" s="2" t="s">
        <v>115</v>
      </c>
      <c r="C4" s="2" t="s">
        <v>113</v>
      </c>
      <c r="D4" s="2" t="s">
        <v>70</v>
      </c>
    </row>
  </sheetData>
  <autoFilter ref="A1:D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</cols>
  <sheetData>
    <row r="1" ht="24" customHeight="1" spans="1:1" x14ac:dyDescent="0.25">
      <c r="A1" s="1" t="s">
        <v>116</v>
      </c>
    </row>
    <row r="2" spans="1:1" x14ac:dyDescent="0.25">
      <c r="A2" s="2" t="s">
        <v>117</v>
      </c>
    </row>
    <row r="3" spans="1:1" x14ac:dyDescent="0.25">
      <c r="A3" s="2" t="s">
        <v>118</v>
      </c>
    </row>
    <row r="4" spans="1:1" x14ac:dyDescent="0.25">
      <c r="A4" s="2" t="s">
        <v>119</v>
      </c>
    </row>
    <row r="5" spans="1:1" x14ac:dyDescent="0.25">
      <c r="A5" s="2" t="s">
        <v>30</v>
      </c>
    </row>
    <row r="6" spans="1:1" x14ac:dyDescent="0.25">
      <c r="A6" s="2" t="s">
        <v>120</v>
      </c>
    </row>
    <row r="7" spans="1:1" x14ac:dyDescent="0.25">
      <c r="A7" s="2" t="s">
        <v>121</v>
      </c>
    </row>
  </sheetData>
  <autoFilter ref="A1:A1"/>
  <printOptions horizontalCentered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01_Command_Center</vt:lpstr>
      <vt:lpstr>02_Guest_Database</vt:lpstr>
      <vt:lpstr>03_RSVP_Status</vt:lpstr>
      <vt:lpstr>04_Categories</vt:lpstr>
      <vt:lpstr>05_Seating</vt:lpstr>
      <vt:lpstr>06_Venue</vt:lpstr>
      <vt:lpstr>07_Suppliers</vt:lpstr>
      <vt:lpstr>08_Budget</vt:lpstr>
      <vt:lpstr>09_Change_Impact</vt:lpstr>
      <vt:lpstr>10_Risks</vt:lpstr>
      <vt:lpstr>11_Final_Brief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EventSheet AI MVP</dc:creator>
  <dc:title/>
  <dc:subject/>
  <dc:description/>
  <cp:keywords/>
  <cp:category/>
  <cp:lastModifiedBy>Unknown</cp:lastModifiedBy>
  <dcterms:created xsi:type="dcterms:W3CDTF">2026-06-08T22:39:34Z</dcterms:created>
  <dcterms:modified xsi:type="dcterms:W3CDTF">2026-06-08T22:39:34Z</dcterms:modified>
</cp:coreProperties>
</file>