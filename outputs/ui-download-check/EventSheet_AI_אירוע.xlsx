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Command_Center" state="visible" r:id="rId4"/>
    <sheet sheetId="2" name="02_Guest_Database" state="visible" r:id="rId5"/>
    <sheet sheetId="3" name="03_RSVP_Status" state="visible" r:id="rId6"/>
    <sheet sheetId="4" name="04_Categories" state="visible" r:id="rId7"/>
    <sheet sheetId="5" name="05_Seating" state="visible" r:id="rId8"/>
    <sheet sheetId="6" name="06_Venue" state="visible" r:id="rId9"/>
    <sheet sheetId="7" name="07_Suppliers" state="visible" r:id="rId10"/>
    <sheet sheetId="8" name="08_Budget" state="visible" r:id="rId11"/>
    <sheet sheetId="9" name="09_Change_Impact" state="visible" r:id="rId12"/>
    <sheet sheetId="10" name="10_Risks" state="visible" r:id="rId13"/>
    <sheet sheetId="11" name="11_Final_Brief" state="visible" r:id="rId14"/>
  </sheets>
  <calcPr calcId="171027"/>
</workbook>
</file>

<file path=xl/sharedStrings.xml><?xml version="1.0" encoding="utf-8"?>
<sst xmlns="http://schemas.openxmlformats.org/spreadsheetml/2006/main" count="108" uniqueCount="73">
  <si>
    <t>מדד</t>
  </si>
  <si>
    <t>ערך</t>
  </si>
  <si>
    <t>שם האירוע</t>
  </si>
  <si>
    <t>אירוע חדש</t>
  </si>
  <si>
    <t>תאריך</t>
  </si>
  <si>
    <t>לא צוין</t>
  </si>
  <si>
    <t>מקום</t>
  </si>
  <si>
    <t>כמות אורחים משוערת</t>
  </si>
  <si>
    <t>אורחים שזוהו</t>
  </si>
  <si>
    <t>מאשרי הגעה</t>
  </si>
  <si>
    <t>טרם השיבו</t>
  </si>
  <si>
    <t>לא מגיעים</t>
  </si>
  <si>
    <t>ספקים שזוהו</t>
  </si>
  <si>
    <t>תקציב כולל מזוהה</t>
  </si>
  <si>
    <t>סיכונים פתוחים</t>
  </si>
  <si>
    <t>הערה</t>
  </si>
  <si>
    <t>Excel הוא מקור האמת לאחר ההפקה</t>
  </si>
  <si>
    <t>מזהה</t>
  </si>
  <si>
    <t>שם אורח</t>
  </si>
  <si>
    <t>סטטוס הגעה</t>
  </si>
  <si>
    <t>קטגוריה</t>
  </si>
  <si>
    <t>תזונה</t>
  </si>
  <si>
    <t>שולחן</t>
  </si>
  <si>
    <t>הערות</t>
  </si>
  <si>
    <t/>
  </si>
  <si>
    <t>לא זוהה מידע — לעדכון ידני</t>
  </si>
  <si>
    <t>סטטוס</t>
  </si>
  <si>
    <t>כמות</t>
  </si>
  <si>
    <t>מאשר הגעה</t>
  </si>
  <si>
    <t>טרם השיב</t>
  </si>
  <si>
    <t>לא מגיע</t>
  </si>
  <si>
    <t>הערת MVP</t>
  </si>
  <si>
    <t>אין שליחת RSVP. זהו סיכום לצורך אקסל בלבד.</t>
  </si>
  <si>
    <t>כמות אורחים</t>
  </si>
  <si>
    <t>כינוי</t>
  </si>
  <si>
    <t>קיבולת</t>
  </si>
  <si>
    <t>אורחים שהושבו</t>
  </si>
  <si>
    <t>מקומות פנויים</t>
  </si>
  <si>
    <t>שולחן 1</t>
  </si>
  <si>
    <t>ברירת מחדל לעריכת מנהל</t>
  </si>
  <si>
    <t>נתון אולם</t>
  </si>
  <si>
    <t>מקום האירוע</t>
  </si>
  <si>
    <t>מספר שולחנות</t>
  </si>
  <si>
    <t>ניהול אילוצי האולם נעשה באקסל לאחר ההפקה</t>
  </si>
  <si>
    <t>תחום</t>
  </si>
  <si>
    <t>שם ספק</t>
  </si>
  <si>
    <t>עלות חוזה</t>
  </si>
  <si>
    <t>שולם</t>
  </si>
  <si>
    <t>יתרה</t>
  </si>
  <si>
    <t>סעיף</t>
  </si>
  <si>
    <t>סכום</t>
  </si>
  <si>
    <t>סה"כ</t>
  </si>
  <si>
    <t>שינוי</t>
  </si>
  <si>
    <t>השפעה</t>
  </si>
  <si>
    <t>החלטת מנהל</t>
  </si>
  <si>
    <t>שינוי כמות אורחים</t>
  </si>
  <si>
    <t>משפיע על קייטרינג, הושבה ותקציב</t>
  </si>
  <si>
    <t>לעדכון ידני באקסל</t>
  </si>
  <si>
    <t>שינוי ספק</t>
  </si>
  <si>
    <t>משפיע על תקציב ולוחות זמנים</t>
  </si>
  <si>
    <t>אישור מנהל אירוע</t>
  </si>
  <si>
    <t>סיכון חדש</t>
  </si>
  <si>
    <t>משפיע על בריף וניהול שטח</t>
  </si>
  <si>
    <t>תיעוד בגיליון סיכונים</t>
  </si>
  <si>
    <t>סיכון</t>
  </si>
  <si>
    <t>חומרה</t>
  </si>
  <si>
    <t>אחראי</t>
  </si>
  <si>
    <t>פעולה</t>
  </si>
  <si>
    <t>בריף סופי</t>
  </si>
  <si>
    <t>בריף תפעולי עבור אירוע חדש</t>
  </si>
  <si>
    <t>מקום: לא צוין | תאריך: לא צוין</t>
  </si>
  <si>
    <t>זוהו 0 אורחים, 0 ספקים ו-0 סיכונים.</t>
  </si>
  <si>
    <t>הנתונים הם טיוטת עבודה בלבד. מנהל האירוע נדרש לאשר, לתקן ולהחליט לפני הפקת האקסל.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</si>
</sst>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7985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 wrapText="1" readingOrder="2"/>
    </xf>
    <xf numFmtId="0" fontId="0" fillId="0" borderId="1" xfId="0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7</v>
      </c>
      <c r="B5" s="2">
        <v>0</v>
      </c>
    </row>
    <row r="6" spans="1:2" x14ac:dyDescent="0.25">
      <c r="A6" s="2" t="s">
        <v>8</v>
      </c>
      <c r="B6" s="2">
        <f>COUNTIF('02_Guest_Database'!A:A,"G-*")</f>
      </c>
    </row>
    <row r="7" spans="1:2" x14ac:dyDescent="0.25">
      <c r="A7" s="2" t="s">
        <v>9</v>
      </c>
      <c r="B7" s="2">
        <f>COUNTIF('02_Guest_Database'!C:C,"מאשר הגעה")</f>
      </c>
    </row>
    <row r="8" spans="1:2" x14ac:dyDescent="0.25">
      <c r="A8" s="2" t="s">
        <v>10</v>
      </c>
      <c r="B8" s="2">
        <f>COUNTIF('02_Guest_Database'!C:C,"טרם השיב")</f>
      </c>
    </row>
    <row r="9" spans="1:2" x14ac:dyDescent="0.25">
      <c r="A9" s="2" t="s">
        <v>11</v>
      </c>
      <c r="B9" s="2">
        <f>COUNTIF('02_Guest_Database'!C:C,"לא מגיע")</f>
      </c>
    </row>
    <row r="10" spans="1:2" x14ac:dyDescent="0.25">
      <c r="A10" s="2" t="s">
        <v>12</v>
      </c>
      <c r="B10" s="2">
        <f>COUNTA('07_Suppliers'!B2:B999)</f>
      </c>
    </row>
    <row r="11" spans="1:2" x14ac:dyDescent="0.25">
      <c r="A11" s="2" t="s">
        <v>13</v>
      </c>
      <c r="B11" s="2">
        <f>SUM('08_Budget'!B2:B999)</f>
      </c>
    </row>
    <row r="12" spans="1:2" x14ac:dyDescent="0.25">
      <c r="A12" s="2" t="s">
        <v>14</v>
      </c>
      <c r="B12" s="2">
        <f>COUNTA('10_Risks'!A2:A999)</f>
      </c>
    </row>
    <row r="13" spans="1:2" x14ac:dyDescent="0.25">
      <c r="A13" s="2" t="s">
        <v>15</v>
      </c>
      <c r="B13" s="2" t="s">
        <v>16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7" width="14" customWidth="1"/>
  </cols>
  <sheetData>
    <row r="1" ht="24" customHeight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2" t="s">
        <v>24</v>
      </c>
      <c r="B2" s="3" t="s">
        <v>25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</row>
  </sheetData>
  <autoFilter ref="A1:G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</cols>
  <sheetData>
    <row r="1" ht="24" customHeight="1" spans="1:2" x14ac:dyDescent="0.25">
      <c r="A1" s="1" t="s">
        <v>26</v>
      </c>
      <c r="B1" s="1" t="s">
        <v>27</v>
      </c>
    </row>
    <row r="2" spans="1:2" x14ac:dyDescent="0.25">
      <c r="A2" s="2" t="s">
        <v>28</v>
      </c>
      <c r="B2" s="2">
        <f>COUNTIF('02_Guest_Database'!C:C,"מאשר הגעה")</f>
      </c>
    </row>
    <row r="3" spans="1:2" x14ac:dyDescent="0.25">
      <c r="A3" s="2" t="s">
        <v>29</v>
      </c>
      <c r="B3" s="2">
        <f>COUNTIF('02_Guest_Database'!C:C,"טרם השיב")</f>
      </c>
    </row>
    <row r="4" spans="1:2" x14ac:dyDescent="0.25">
      <c r="A4" s="2" t="s">
        <v>30</v>
      </c>
      <c r="B4" s="2">
        <f>COUNTIF('02_Guest_Database'!C:C,"לא מגיע")</f>
      </c>
    </row>
    <row r="5" spans="1:2" x14ac:dyDescent="0.25">
      <c r="A5" s="2" t="s">
        <v>31</v>
      </c>
      <c r="B5" s="2" t="s">
        <v>32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</cols>
  <sheetData>
    <row r="1" ht="24" customHeight="1" spans="1:2" x14ac:dyDescent="0.25">
      <c r="A1" s="1" t="s">
        <v>20</v>
      </c>
      <c r="B1" s="1" t="s">
        <v>33</v>
      </c>
    </row>
    <row r="2" spans="1:2" x14ac:dyDescent="0.25">
      <c r="A2" s="3" t="s">
        <v>25</v>
      </c>
      <c r="B2" s="2" t="s">
        <v>24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6" width="17" customWidth="1"/>
    <col min="7" max="7" width="26" customWidth="1"/>
  </cols>
  <sheetData>
    <row r="1" ht="24" customHeight="1" spans="1:7" x14ac:dyDescent="0.25">
      <c r="A1" s="1" t="s">
        <v>22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26</v>
      </c>
      <c r="G1" s="1" t="s">
        <v>23</v>
      </c>
    </row>
    <row r="2" spans="1:7" x14ac:dyDescent="0.25">
      <c r="A2" s="2">
        <v>1</v>
      </c>
      <c r="B2" s="2" t="s">
        <v>38</v>
      </c>
      <c r="C2" s="2">
        <v>10</v>
      </c>
      <c r="D2" s="2">
        <v>0</v>
      </c>
      <c r="E2" s="2">
        <v>10</v>
      </c>
      <c r="F2" s="2" t="s">
        <v>37</v>
      </c>
      <c r="G2" s="2" t="s">
        <v>39</v>
      </c>
    </row>
  </sheetData>
  <autoFilter ref="A1:G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</cols>
  <sheetData>
    <row r="1" ht="24" customHeight="1" spans="1:2" x14ac:dyDescent="0.25">
      <c r="A1" s="1" t="s">
        <v>40</v>
      </c>
      <c r="B1" s="1" t="s">
        <v>1</v>
      </c>
    </row>
    <row r="2" spans="1:2" x14ac:dyDescent="0.25">
      <c r="A2" s="2" t="s">
        <v>41</v>
      </c>
      <c r="B2" s="2" t="s">
        <v>5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7</v>
      </c>
      <c r="B4" s="2">
        <v>0</v>
      </c>
    </row>
    <row r="5" spans="1:2" x14ac:dyDescent="0.25">
      <c r="A5" s="2" t="s">
        <v>42</v>
      </c>
      <c r="B5" s="2">
        <v>1</v>
      </c>
    </row>
    <row r="6" spans="1:2" x14ac:dyDescent="0.25">
      <c r="A6" s="2" t="s">
        <v>23</v>
      </c>
      <c r="B6" s="2" t="s">
        <v>43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6" width="14" customWidth="1"/>
  </cols>
  <sheetData>
    <row r="1" ht="24" customHeight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26</v>
      </c>
    </row>
    <row r="2" spans="1:6" x14ac:dyDescent="0.25">
      <c r="A2" s="2" t="s">
        <v>24</v>
      </c>
      <c r="B2" s="3" t="s">
        <v>25</v>
      </c>
      <c r="C2" s="2" t="s">
        <v>24</v>
      </c>
      <c r="D2" s="2" t="s">
        <v>24</v>
      </c>
      <c r="E2" s="2" t="s">
        <v>24</v>
      </c>
      <c r="F2" s="2" t="s">
        <v>24</v>
      </c>
    </row>
  </sheetData>
  <autoFilter ref="A1:F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4" customWidth="1"/>
  </cols>
  <sheetData>
    <row r="1" ht="24" customHeight="1" spans="1:3" x14ac:dyDescent="0.25">
      <c r="A1" s="1" t="s">
        <v>49</v>
      </c>
      <c r="B1" s="1" t="s">
        <v>50</v>
      </c>
      <c r="C1" s="1" t="s">
        <v>23</v>
      </c>
    </row>
    <row r="2" spans="1:3" x14ac:dyDescent="0.25">
      <c r="A2" s="3" t="s">
        <v>25</v>
      </c>
      <c r="B2" s="2" t="s">
        <v>24</v>
      </c>
      <c r="C2" s="2" t="s">
        <v>24</v>
      </c>
    </row>
    <row r="3" spans="1:3" x14ac:dyDescent="0.25">
      <c r="A3" s="2" t="s">
        <v>51</v>
      </c>
      <c r="B3" s="2">
        <f>SUM(B2:B999)</f>
      </c>
      <c r="C3" s="2" t="s">
        <v>24</v>
      </c>
    </row>
  </sheetData>
  <autoFilter ref="A1:C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5" customWidth="1"/>
    <col min="3" max="3" width="25" customWidth="1"/>
  </cols>
  <sheetData>
    <row r="1" ht="24" customHeight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s="2" t="s">
        <v>55</v>
      </c>
      <c r="B2" s="2" t="s">
        <v>56</v>
      </c>
      <c r="C2" s="2" t="s">
        <v>57</v>
      </c>
    </row>
    <row r="3" spans="1:3" x14ac:dyDescent="0.25">
      <c r="A3" s="2" t="s">
        <v>58</v>
      </c>
      <c r="B3" s="2" t="s">
        <v>59</v>
      </c>
      <c r="C3" s="2" t="s">
        <v>60</v>
      </c>
    </row>
    <row r="4" spans="1:3" x14ac:dyDescent="0.25">
      <c r="A4" s="2" t="s">
        <v>61</v>
      </c>
      <c r="B4" s="2" t="s">
        <v>62</v>
      </c>
      <c r="C4" s="2" t="s">
        <v>63</v>
      </c>
    </row>
  </sheetData>
  <autoFilter ref="A1:C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4" customWidth="1"/>
  </cols>
  <sheetData>
    <row r="1" ht="24" customHeight="1" spans="1:4" x14ac:dyDescent="0.2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25">
      <c r="A2" s="3" t="s">
        <v>25</v>
      </c>
      <c r="B2" s="2" t="s">
        <v>24</v>
      </c>
      <c r="C2" s="2" t="s">
        <v>24</v>
      </c>
      <c r="D2" s="2" t="s">
        <v>24</v>
      </c>
    </row>
  </sheetData>
  <autoFilter ref="A1:D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</cols>
  <sheetData>
    <row r="1" ht="24" customHeight="1" spans="1:1" x14ac:dyDescent="0.25">
      <c r="A1" s="1" t="s">
        <v>68</v>
      </c>
    </row>
    <row r="2" spans="1:1" x14ac:dyDescent="0.25">
      <c r="A2" s="2" t="s">
        <v>69</v>
      </c>
    </row>
    <row r="3" spans="1:1" x14ac:dyDescent="0.25">
      <c r="A3" s="2" t="s">
        <v>70</v>
      </c>
    </row>
    <row r="4" spans="1:1" x14ac:dyDescent="0.25">
      <c r="A4" s="2" t="s">
        <v>71</v>
      </c>
    </row>
    <row r="5" spans="1:1" x14ac:dyDescent="0.25">
      <c r="A5" s="2" t="s">
        <v>72</v>
      </c>
    </row>
  </sheetData>
  <autoFilter ref="A1:A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01_Command_Center</vt:lpstr>
      <vt:lpstr>02_Guest_Database</vt:lpstr>
      <vt:lpstr>03_RSVP_Status</vt:lpstr>
      <vt:lpstr>04_Categories</vt:lpstr>
      <vt:lpstr>05_Seating</vt:lpstr>
      <vt:lpstr>06_Venue</vt:lpstr>
      <vt:lpstr>07_Suppliers</vt:lpstr>
      <vt:lpstr>08_Budget</vt:lpstr>
      <vt:lpstr>09_Change_Impact</vt:lpstr>
      <vt:lpstr>10_Risks</vt:lpstr>
      <vt:lpstr>11_Final_Brief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EventSheet AI MVP</dc:creator>
  <dc:title/>
  <dc:subject/>
  <dc:description/>
  <cp:keywords/>
  <cp:category/>
  <cp:lastModifiedBy>Unknown</cp:lastModifiedBy>
  <dcterms:created xsi:type="dcterms:W3CDTF">2026-06-08T22:04:53Z</dcterms:created>
  <dcterms:modified xsi:type="dcterms:W3CDTF">2026-06-08T22:04:53Z</dcterms:modified>
</cp:coreProperties>
</file>